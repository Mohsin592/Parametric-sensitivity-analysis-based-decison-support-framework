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Desktop\Nasir\Sensitivity analysis\Embodied impact calculation for different materials\"/>
    </mc:Choice>
  </mc:AlternateContent>
  <xr:revisionPtr revIDLastSave="0" documentId="13_ncr:1_{2EC2EF9E-E8DB-47B0-B6C0-35AD1E167F9C}" xr6:coauthVersionLast="47" xr6:coauthVersionMax="47" xr10:uidLastSave="{00000000-0000-0000-0000-000000000000}"/>
  <bookViews>
    <workbookView xWindow="-120" yWindow="-120" windowWidth="29040" windowHeight="15720" firstSheet="5" activeTab="5" xr2:uid="{517E8F0A-A4FA-4F66-ADE9-AB16D0017DCD}"/>
  </bookViews>
  <sheets>
    <sheet name="Parameters_name" sheetId="13" r:id="rId1"/>
    <sheet name="Component Volume" sheetId="3" r:id="rId2"/>
    <sheet name="Material_Inventory" sheetId="4" r:id="rId3"/>
    <sheet name="Material Production" sheetId="5" r:id="rId4"/>
    <sheet name="Construction Phase" sheetId="6" r:id="rId5"/>
    <sheet name="Operational Phase" sheetId="7" r:id="rId6"/>
    <sheet name="Demolition Phase" sheetId="8" r:id="rId7"/>
    <sheet name="Life Cycle Phase" sheetId="9" r:id="rId8"/>
    <sheet name="Component Impact" sheetId="10" r:id="rId9"/>
    <sheet name="Material Impacts" sheetId="12" r:id="rId10"/>
    <sheet name="Life cycle impact" sheetId="14" r:id="rId11"/>
    <sheet name="Embodied material impact" sheetId="15" r:id="rId12"/>
  </sheets>
  <externalReferences>
    <externalReference r:id="rId13"/>
  </externalReference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12" l="1"/>
  <c r="Z7" i="8"/>
  <c r="AI7" i="8" s="1"/>
  <c r="Y7" i="8"/>
  <c r="AH7" i="8" s="1"/>
  <c r="X7" i="8"/>
  <c r="AG7" i="8" s="1"/>
  <c r="W7" i="8"/>
  <c r="AF7" i="8" s="1"/>
  <c r="V7" i="8"/>
  <c r="AE7" i="8" s="1"/>
  <c r="U7" i="8"/>
  <c r="AD7" i="8" s="1"/>
  <c r="T7" i="8"/>
  <c r="AC7" i="8" s="1"/>
  <c r="S7" i="8"/>
  <c r="AB7" i="8" s="1"/>
  <c r="I5" i="9" s="1"/>
  <c r="M7" i="7"/>
  <c r="M8" i="7"/>
  <c r="M9" i="7"/>
  <c r="M10" i="7"/>
  <c r="M11" i="7"/>
  <c r="M12" i="7"/>
  <c r="M13" i="7"/>
  <c r="M14" i="7"/>
  <c r="M15" i="7"/>
  <c r="M16" i="7"/>
  <c r="M17" i="7"/>
  <c r="M6" i="7"/>
  <c r="L7" i="7"/>
  <c r="L8" i="7"/>
  <c r="L9" i="7"/>
  <c r="L10" i="7"/>
  <c r="L11" i="7"/>
  <c r="L12" i="7"/>
  <c r="L13" i="7"/>
  <c r="L14" i="7"/>
  <c r="L15" i="7"/>
  <c r="L16" i="7"/>
  <c r="L17" i="7"/>
  <c r="L6" i="7"/>
  <c r="K7" i="7"/>
  <c r="H6" i="9" s="1"/>
  <c r="K8" i="7"/>
  <c r="H7" i="9" s="1"/>
  <c r="K9" i="7"/>
  <c r="H8" i="9" s="1"/>
  <c r="K10" i="7"/>
  <c r="H9" i="9" s="1"/>
  <c r="K11" i="7"/>
  <c r="H10" i="9" s="1"/>
  <c r="K12" i="7"/>
  <c r="H11" i="9" s="1"/>
  <c r="K13" i="7"/>
  <c r="H12" i="9" s="1"/>
  <c r="K14" i="7"/>
  <c r="H13" i="9" s="1"/>
  <c r="K15" i="7"/>
  <c r="H14" i="9" s="1"/>
  <c r="K16" i="7"/>
  <c r="H15" i="9" s="1"/>
  <c r="K17" i="7"/>
  <c r="H16" i="9" s="1"/>
  <c r="K6" i="7"/>
  <c r="H5" i="9" s="1"/>
  <c r="K5" i="5"/>
  <c r="U5" i="5" s="1"/>
  <c r="K6" i="5"/>
  <c r="U6" i="5" s="1"/>
  <c r="K7" i="5"/>
  <c r="U7" i="5" s="1"/>
  <c r="K8" i="5"/>
  <c r="U8" i="5" s="1"/>
  <c r="K9" i="5"/>
  <c r="U9" i="5" s="1"/>
  <c r="K10" i="5"/>
  <c r="U10" i="5" s="1"/>
  <c r="K11" i="5"/>
  <c r="U11" i="5" s="1"/>
  <c r="K12" i="5"/>
  <c r="U12" i="5" s="1"/>
  <c r="K13" i="5"/>
  <c r="U13" i="5" s="1"/>
  <c r="K14" i="5"/>
  <c r="U14" i="5" s="1"/>
  <c r="K15" i="5"/>
  <c r="U15" i="5" s="1"/>
  <c r="K4" i="5"/>
  <c r="U4" i="5" s="1"/>
  <c r="J5" i="5"/>
  <c r="T5" i="5" s="1"/>
  <c r="J6" i="5"/>
  <c r="T6" i="5" s="1"/>
  <c r="J7" i="5"/>
  <c r="T7" i="5" s="1"/>
  <c r="J8" i="5"/>
  <c r="T8" i="5" s="1"/>
  <c r="J9" i="5"/>
  <c r="T9" i="5" s="1"/>
  <c r="J10" i="5"/>
  <c r="T10" i="5" s="1"/>
  <c r="J11" i="5"/>
  <c r="T11" i="5" s="1"/>
  <c r="J12" i="5"/>
  <c r="T12" i="5" s="1"/>
  <c r="J13" i="5"/>
  <c r="T13" i="5" s="1"/>
  <c r="J14" i="5"/>
  <c r="T14" i="5" s="1"/>
  <c r="J15" i="5"/>
  <c r="T15" i="5" s="1"/>
  <c r="J4" i="5"/>
  <c r="T4" i="5" s="1"/>
  <c r="I5" i="5"/>
  <c r="S5" i="5" s="1"/>
  <c r="I6" i="5"/>
  <c r="S6" i="5" s="1"/>
  <c r="I7" i="5"/>
  <c r="S7" i="5" s="1"/>
  <c r="I8" i="5"/>
  <c r="S8" i="5" s="1"/>
  <c r="I9" i="5"/>
  <c r="S9" i="5" s="1"/>
  <c r="I10" i="5"/>
  <c r="S10" i="5" s="1"/>
  <c r="I11" i="5"/>
  <c r="S11" i="5" s="1"/>
  <c r="I12" i="5"/>
  <c r="S12" i="5" s="1"/>
  <c r="I13" i="5"/>
  <c r="S13" i="5" s="1"/>
  <c r="I14" i="5"/>
  <c r="S14" i="5" s="1"/>
  <c r="I15" i="5"/>
  <c r="S15" i="5" s="1"/>
  <c r="I4" i="5"/>
  <c r="S4" i="5" s="1"/>
  <c r="H5" i="5"/>
  <c r="R5" i="5" s="1"/>
  <c r="H6" i="5"/>
  <c r="R6" i="5" s="1"/>
  <c r="H7" i="5"/>
  <c r="R7" i="5" s="1"/>
  <c r="H8" i="5"/>
  <c r="R8" i="5" s="1"/>
  <c r="H9" i="5"/>
  <c r="R9" i="5" s="1"/>
  <c r="H10" i="5"/>
  <c r="R10" i="5" s="1"/>
  <c r="H11" i="5"/>
  <c r="R11" i="5" s="1"/>
  <c r="H12" i="5"/>
  <c r="R12" i="5" s="1"/>
  <c r="H13" i="5"/>
  <c r="R13" i="5" s="1"/>
  <c r="H14" i="5"/>
  <c r="R14" i="5" s="1"/>
  <c r="H15" i="5"/>
  <c r="R15" i="5" s="1"/>
  <c r="H4" i="5"/>
  <c r="R4" i="5" s="1"/>
  <c r="G5" i="5"/>
  <c r="Q5" i="5" s="1"/>
  <c r="G6" i="5"/>
  <c r="Q6" i="5" s="1"/>
  <c r="G7" i="5"/>
  <c r="Q7" i="5" s="1"/>
  <c r="G8" i="5"/>
  <c r="Q8" i="5" s="1"/>
  <c r="G9" i="5"/>
  <c r="Q9" i="5" s="1"/>
  <c r="G10" i="5"/>
  <c r="Q10" i="5" s="1"/>
  <c r="G11" i="5"/>
  <c r="Q11" i="5" s="1"/>
  <c r="G12" i="5"/>
  <c r="Q12" i="5" s="1"/>
  <c r="G13" i="5"/>
  <c r="Q13" i="5" s="1"/>
  <c r="G14" i="5"/>
  <c r="Q14" i="5" s="1"/>
  <c r="G15" i="5"/>
  <c r="Q15" i="5" s="1"/>
  <c r="G4" i="5"/>
  <c r="Q4" i="5" s="1"/>
  <c r="F5" i="5"/>
  <c r="P5" i="5" s="1"/>
  <c r="F6" i="5"/>
  <c r="P6" i="5" s="1"/>
  <c r="F7" i="5"/>
  <c r="P7" i="5" s="1"/>
  <c r="F8" i="5"/>
  <c r="P8" i="5" s="1"/>
  <c r="F9" i="5"/>
  <c r="P9" i="5" s="1"/>
  <c r="F10" i="5"/>
  <c r="P10" i="5" s="1"/>
  <c r="F11" i="5"/>
  <c r="P11" i="5" s="1"/>
  <c r="F12" i="5"/>
  <c r="P12" i="5" s="1"/>
  <c r="F13" i="5"/>
  <c r="P13" i="5" s="1"/>
  <c r="F14" i="5"/>
  <c r="P14" i="5" s="1"/>
  <c r="F15" i="5"/>
  <c r="P15" i="5" s="1"/>
  <c r="F4" i="5"/>
  <c r="P4" i="5" s="1"/>
  <c r="E5" i="5"/>
  <c r="O5" i="5" s="1"/>
  <c r="E6" i="5"/>
  <c r="O6" i="5" s="1"/>
  <c r="E7" i="5"/>
  <c r="O7" i="5" s="1"/>
  <c r="E8" i="5"/>
  <c r="O8" i="5" s="1"/>
  <c r="E9" i="5"/>
  <c r="O9" i="5" s="1"/>
  <c r="E10" i="5"/>
  <c r="O10" i="5" s="1"/>
  <c r="E11" i="5"/>
  <c r="O11" i="5" s="1"/>
  <c r="E12" i="5"/>
  <c r="O12" i="5" s="1"/>
  <c r="E13" i="5"/>
  <c r="O13" i="5" s="1"/>
  <c r="E14" i="5"/>
  <c r="O14" i="5" s="1"/>
  <c r="E15" i="5"/>
  <c r="O15" i="5" s="1"/>
  <c r="E4" i="5"/>
  <c r="O4" i="5" s="1"/>
  <c r="D5" i="5"/>
  <c r="N5" i="5" s="1"/>
  <c r="D6" i="5"/>
  <c r="N6" i="5" s="1"/>
  <c r="D7" i="5"/>
  <c r="N7" i="5" s="1"/>
  <c r="D8" i="5"/>
  <c r="N8" i="5" s="1"/>
  <c r="D9" i="5"/>
  <c r="N9" i="5" s="1"/>
  <c r="D10" i="5"/>
  <c r="N10" i="5" s="1"/>
  <c r="D11" i="5"/>
  <c r="N11" i="5" s="1"/>
  <c r="D12" i="5"/>
  <c r="N12" i="5" s="1"/>
  <c r="D13" i="5"/>
  <c r="N13" i="5" s="1"/>
  <c r="D14" i="5"/>
  <c r="N14" i="5" s="1"/>
  <c r="D15" i="5"/>
  <c r="N15" i="5" s="1"/>
  <c r="D4" i="5"/>
  <c r="N4" i="5" s="1"/>
  <c r="E18" i="5"/>
  <c r="M5" i="12"/>
  <c r="M6" i="12"/>
  <c r="M7" i="12"/>
  <c r="M8" i="12"/>
  <c r="M9" i="12"/>
  <c r="M10" i="12"/>
  <c r="M11" i="12"/>
  <c r="M12" i="12"/>
  <c r="M13" i="12"/>
  <c r="M14" i="12"/>
  <c r="M15" i="12"/>
  <c r="M4" i="12"/>
  <c r="L5" i="12"/>
  <c r="L6" i="12"/>
  <c r="L7" i="12"/>
  <c r="L8" i="12"/>
  <c r="L9" i="12"/>
  <c r="L10" i="12"/>
  <c r="L11" i="12"/>
  <c r="L12" i="12"/>
  <c r="L13" i="12"/>
  <c r="L14" i="12"/>
  <c r="L15" i="12"/>
  <c r="L4" i="12"/>
  <c r="K5" i="12"/>
  <c r="K6" i="12"/>
  <c r="K7" i="12"/>
  <c r="K8" i="12"/>
  <c r="K9" i="12"/>
  <c r="K10" i="12"/>
  <c r="K11" i="12"/>
  <c r="K12" i="12"/>
  <c r="K13" i="12"/>
  <c r="K14" i="12"/>
  <c r="K15" i="12"/>
  <c r="K4" i="12"/>
  <c r="J5" i="12"/>
  <c r="J6" i="12"/>
  <c r="J7" i="12"/>
  <c r="J8" i="12"/>
  <c r="J9" i="12"/>
  <c r="J10" i="12"/>
  <c r="J11" i="12"/>
  <c r="J12" i="12"/>
  <c r="J13" i="12"/>
  <c r="J14" i="12"/>
  <c r="J15" i="12"/>
  <c r="J4" i="12"/>
  <c r="I5" i="12"/>
  <c r="I6" i="12"/>
  <c r="I7" i="12"/>
  <c r="I8" i="12"/>
  <c r="I9" i="12"/>
  <c r="I10" i="12"/>
  <c r="I11" i="12"/>
  <c r="I12" i="12"/>
  <c r="I13" i="12"/>
  <c r="I14" i="12"/>
  <c r="I15" i="12"/>
  <c r="I4" i="12"/>
  <c r="H5" i="12"/>
  <c r="H6" i="12"/>
  <c r="H7" i="12"/>
  <c r="H8" i="12"/>
  <c r="H9" i="12"/>
  <c r="H10" i="12"/>
  <c r="H11" i="12"/>
  <c r="H12" i="12"/>
  <c r="H13" i="12"/>
  <c r="H14" i="12"/>
  <c r="H15" i="12"/>
  <c r="H4" i="12"/>
  <c r="G5" i="12"/>
  <c r="G6" i="12"/>
  <c r="G7" i="12"/>
  <c r="G8" i="12"/>
  <c r="G9" i="12"/>
  <c r="G10" i="12"/>
  <c r="G11" i="12"/>
  <c r="G12" i="12"/>
  <c r="G13" i="12"/>
  <c r="G14" i="12"/>
  <c r="G15" i="12"/>
  <c r="G4" i="12"/>
  <c r="F5" i="12"/>
  <c r="F6" i="12"/>
  <c r="F7" i="12"/>
  <c r="F8" i="12"/>
  <c r="F9" i="12"/>
  <c r="F10" i="12"/>
  <c r="F11" i="12"/>
  <c r="F12" i="12"/>
  <c r="F13" i="12"/>
  <c r="F14" i="12"/>
  <c r="F15" i="12"/>
  <c r="F4" i="12"/>
  <c r="E5" i="12"/>
  <c r="E6" i="12"/>
  <c r="E7" i="12"/>
  <c r="E8" i="12"/>
  <c r="E9" i="12"/>
  <c r="E10" i="12"/>
  <c r="E11" i="12"/>
  <c r="E12" i="12"/>
  <c r="E13" i="12"/>
  <c r="E14" i="12"/>
  <c r="E15" i="12"/>
  <c r="E4" i="12"/>
  <c r="D5" i="12"/>
  <c r="D6" i="12"/>
  <c r="D7" i="12"/>
  <c r="D8" i="12"/>
  <c r="D9" i="12"/>
  <c r="D10" i="12"/>
  <c r="D11" i="12"/>
  <c r="D12" i="12"/>
  <c r="D13" i="12"/>
  <c r="D14" i="12"/>
  <c r="D15" i="12"/>
  <c r="D4" i="12"/>
  <c r="M6" i="6" l="1"/>
  <c r="M5" i="10" s="1"/>
  <c r="M17" i="6"/>
  <c r="M16" i="6"/>
  <c r="M15" i="6"/>
  <c r="M14" i="6"/>
  <c r="M13" i="6"/>
  <c r="M12" i="6"/>
  <c r="M11" i="6"/>
  <c r="M10" i="6"/>
  <c r="M9" i="6"/>
  <c r="M8" i="6"/>
  <c r="M7" i="6"/>
  <c r="L6" i="6"/>
  <c r="L5" i="10" s="1"/>
  <c r="L17" i="6"/>
  <c r="L16" i="6"/>
  <c r="L15" i="6"/>
  <c r="L14" i="6"/>
  <c r="L13" i="6"/>
  <c r="L12" i="6"/>
  <c r="L11" i="6"/>
  <c r="L10" i="6"/>
  <c r="L9" i="6"/>
  <c r="L8" i="6"/>
  <c r="L7" i="6"/>
  <c r="K6" i="6"/>
  <c r="K5" i="10" s="1"/>
  <c r="K17" i="6"/>
  <c r="K16" i="6"/>
  <c r="K15" i="6"/>
  <c r="K14" i="6"/>
  <c r="K13" i="6"/>
  <c r="K12" i="6"/>
  <c r="K11" i="6"/>
  <c r="K10" i="6"/>
  <c r="K9" i="6"/>
  <c r="K8" i="6"/>
  <c r="K7" i="6"/>
  <c r="J6" i="6"/>
  <c r="J5" i="10" s="1"/>
  <c r="J17" i="6"/>
  <c r="J16" i="6"/>
  <c r="J15" i="6"/>
  <c r="J14" i="6"/>
  <c r="J13" i="6"/>
  <c r="J12" i="6"/>
  <c r="J11" i="6"/>
  <c r="J10" i="6"/>
  <c r="J9" i="6"/>
  <c r="J8" i="6"/>
  <c r="J7" i="6"/>
  <c r="I6" i="6"/>
  <c r="I5" i="10" s="1"/>
  <c r="I16" i="6"/>
  <c r="I15" i="6"/>
  <c r="I14" i="6"/>
  <c r="I13" i="6"/>
  <c r="I12" i="6"/>
  <c r="I11" i="6"/>
  <c r="I10" i="6"/>
  <c r="I9" i="6"/>
  <c r="I8" i="6"/>
  <c r="I7" i="6"/>
  <c r="I17" i="6"/>
  <c r="H6" i="6"/>
  <c r="H5" i="10" s="1"/>
  <c r="H17" i="6"/>
  <c r="H16" i="6"/>
  <c r="H15" i="6"/>
  <c r="H14" i="6"/>
  <c r="H12" i="6"/>
  <c r="H10" i="6"/>
  <c r="H9" i="6"/>
  <c r="H13" i="6"/>
  <c r="H11" i="6"/>
  <c r="H8" i="6"/>
  <c r="H7" i="6"/>
  <c r="G6" i="6"/>
  <c r="G5" i="10" s="1"/>
  <c r="G17" i="6"/>
  <c r="G16" i="6"/>
  <c r="G15" i="6"/>
  <c r="G14" i="6"/>
  <c r="G13" i="6"/>
  <c r="G12" i="6"/>
  <c r="G11" i="6"/>
  <c r="G10" i="6"/>
  <c r="G9" i="6"/>
  <c r="G8" i="6"/>
  <c r="G7" i="6"/>
  <c r="F6" i="9"/>
  <c r="F7" i="9"/>
  <c r="F8" i="9"/>
  <c r="F9" i="9"/>
  <c r="F10" i="9"/>
  <c r="F11" i="9"/>
  <c r="F12" i="9"/>
  <c r="F13" i="9"/>
  <c r="F14" i="9"/>
  <c r="F15" i="9"/>
  <c r="F6" i="6"/>
  <c r="F17" i="6"/>
  <c r="F16" i="6"/>
  <c r="F15" i="6"/>
  <c r="F14" i="6"/>
  <c r="F13" i="6"/>
  <c r="F12" i="6"/>
  <c r="F11" i="6"/>
  <c r="F10" i="6"/>
  <c r="F9" i="6"/>
  <c r="F8" i="6"/>
  <c r="F7" i="6"/>
  <c r="F16" i="9"/>
  <c r="F5" i="10"/>
  <c r="F5" i="9"/>
  <c r="N7" i="7"/>
  <c r="V5" i="5"/>
  <c r="B82" i="13"/>
  <c r="B81" i="13"/>
  <c r="B80" i="13"/>
  <c r="B79" i="13"/>
  <c r="B78" i="13"/>
  <c r="B77" i="13"/>
  <c r="B76" i="13"/>
  <c r="B75" i="13"/>
  <c r="G5" i="9" l="1"/>
  <c r="G16" i="9"/>
  <c r="G15" i="9"/>
  <c r="G14" i="9"/>
  <c r="G13" i="9"/>
  <c r="G12" i="9"/>
  <c r="G11" i="9"/>
  <c r="G10" i="9"/>
  <c r="G9" i="9"/>
  <c r="G8" i="9"/>
  <c r="G7" i="9"/>
  <c r="G6" i="9"/>
  <c r="G15" i="14"/>
  <c r="D15" i="15" s="1"/>
  <c r="F15" i="14"/>
  <c r="C15" i="15" s="1"/>
  <c r="A17" i="14"/>
  <c r="A9" i="14"/>
  <c r="A2" i="14"/>
  <c r="G3" i="14"/>
  <c r="D3" i="15" s="1"/>
  <c r="G4" i="14"/>
  <c r="D4" i="15" s="1"/>
  <c r="G5" i="14"/>
  <c r="D5" i="15" s="1"/>
  <c r="G6" i="14"/>
  <c r="D6" i="15" s="1"/>
  <c r="G7" i="14"/>
  <c r="D7" i="15" s="1"/>
  <c r="G10" i="14"/>
  <c r="D10" i="15" s="1"/>
  <c r="G11" i="14"/>
  <c r="D11" i="15" s="1"/>
  <c r="G12" i="14"/>
  <c r="D12" i="15" s="1"/>
  <c r="G13" i="14"/>
  <c r="D13" i="15" s="1"/>
  <c r="G14" i="14"/>
  <c r="D14" i="15" s="1"/>
  <c r="G18" i="14"/>
  <c r="D18" i="15" s="1"/>
  <c r="G19" i="14"/>
  <c r="D19" i="15" s="1"/>
  <c r="G20" i="14"/>
  <c r="D20" i="15" s="1"/>
  <c r="G23" i="14"/>
  <c r="G24" i="14"/>
  <c r="D24" i="15" s="1"/>
  <c r="F3" i="14"/>
  <c r="C3" i="15" s="1"/>
  <c r="F4" i="14"/>
  <c r="C4" i="15" s="1"/>
  <c r="F5" i="14"/>
  <c r="C5" i="15" s="1"/>
  <c r="F6" i="14"/>
  <c r="C6" i="15" s="1"/>
  <c r="F7" i="14"/>
  <c r="C7" i="15" s="1"/>
  <c r="F10" i="14"/>
  <c r="C10" i="15" s="1"/>
  <c r="F11" i="14"/>
  <c r="C11" i="15" s="1"/>
  <c r="F12" i="14"/>
  <c r="C12" i="15" s="1"/>
  <c r="F13" i="14"/>
  <c r="C13" i="15" s="1"/>
  <c r="F14" i="14"/>
  <c r="C14" i="15" s="1"/>
  <c r="F18" i="14"/>
  <c r="C18" i="15" s="1"/>
  <c r="F19" i="14"/>
  <c r="C19" i="15" s="1"/>
  <c r="F20" i="14"/>
  <c r="C20" i="15" s="1"/>
  <c r="F23" i="14"/>
  <c r="F24" i="14"/>
  <c r="C24" i="15" s="1"/>
  <c r="D23" i="15" l="1"/>
  <c r="G30" i="14"/>
  <c r="C23" i="15"/>
  <c r="F30" i="14"/>
  <c r="E9" i="14"/>
  <c r="E2" i="14"/>
  <c r="E22" i="14"/>
  <c r="E17" i="14"/>
  <c r="C66" i="13"/>
  <c r="C57" i="13"/>
  <c r="C40" i="13"/>
  <c r="C31" i="13"/>
  <c r="C22" i="13"/>
  <c r="C14" i="13"/>
  <c r="F28" i="7"/>
  <c r="G23" i="7" s="1"/>
  <c r="E16" i="13" l="1"/>
  <c r="G16" i="13" s="1"/>
  <c r="B9" i="14"/>
  <c r="B17" i="14"/>
  <c r="B22" i="14"/>
  <c r="B2" i="14"/>
  <c r="C49" i="13"/>
  <c r="E23" i="13" s="1"/>
  <c r="G23" i="13" s="1"/>
  <c r="E20" i="13"/>
  <c r="G20" i="13" s="1"/>
  <c r="E22" i="13"/>
  <c r="G22" i="13" s="1"/>
  <c r="E19" i="13"/>
  <c r="G19" i="13" s="1"/>
  <c r="E17" i="13"/>
  <c r="G17" i="13" s="1"/>
  <c r="E18" i="13"/>
  <c r="G18" i="13" s="1"/>
  <c r="G22" i="7"/>
  <c r="G27" i="7"/>
  <c r="G26" i="7"/>
  <c r="L24" i="7" s="1"/>
  <c r="G25" i="7"/>
  <c r="G24" i="7"/>
  <c r="L23" i="7" s="1"/>
  <c r="C332" i="3"/>
  <c r="E18" i="8"/>
  <c r="E17" i="8"/>
  <c r="E16" i="8"/>
  <c r="E15" i="8"/>
  <c r="E14" i="8"/>
  <c r="E13" i="8"/>
  <c r="E12" i="8"/>
  <c r="E11" i="8"/>
  <c r="E10" i="8"/>
  <c r="E9" i="8"/>
  <c r="E8" i="8"/>
  <c r="E5" i="8"/>
  <c r="E4" i="8"/>
  <c r="E3" i="8"/>
  <c r="W18" i="8" l="1"/>
  <c r="AF18" i="8" s="1"/>
  <c r="J16" i="10" s="1"/>
  <c r="U18" i="8"/>
  <c r="AD18" i="8" s="1"/>
  <c r="H16" i="10" s="1"/>
  <c r="S18" i="8"/>
  <c r="AB18" i="8" s="1"/>
  <c r="Z18" i="8"/>
  <c r="AI18" i="8" s="1"/>
  <c r="M16" i="10" s="1"/>
  <c r="Y18" i="8"/>
  <c r="AH18" i="8" s="1"/>
  <c r="L16" i="10" s="1"/>
  <c r="V18" i="8"/>
  <c r="AE18" i="8" s="1"/>
  <c r="I16" i="10" s="1"/>
  <c r="X18" i="8"/>
  <c r="AG18" i="8" s="1"/>
  <c r="K16" i="10" s="1"/>
  <c r="T18" i="8"/>
  <c r="AC18" i="8" s="1"/>
  <c r="G16" i="10" s="1"/>
  <c r="Y17" i="8"/>
  <c r="AH17" i="8" s="1"/>
  <c r="L15" i="10" s="1"/>
  <c r="U17" i="8"/>
  <c r="AD17" i="8" s="1"/>
  <c r="H15" i="10" s="1"/>
  <c r="S17" i="8"/>
  <c r="AB17" i="8" s="1"/>
  <c r="T17" i="8"/>
  <c r="AC17" i="8" s="1"/>
  <c r="G15" i="10" s="1"/>
  <c r="X17" i="8"/>
  <c r="AG17" i="8" s="1"/>
  <c r="K15" i="10" s="1"/>
  <c r="Z17" i="8"/>
  <c r="AI17" i="8" s="1"/>
  <c r="M15" i="10" s="1"/>
  <c r="W17" i="8"/>
  <c r="AF17" i="8" s="1"/>
  <c r="J15" i="10" s="1"/>
  <c r="V17" i="8"/>
  <c r="AE17" i="8" s="1"/>
  <c r="I15" i="10" s="1"/>
  <c r="W16" i="8"/>
  <c r="AF16" i="8" s="1"/>
  <c r="J14" i="10" s="1"/>
  <c r="U16" i="8"/>
  <c r="AD16" i="8" s="1"/>
  <c r="H14" i="10" s="1"/>
  <c r="Z16" i="8"/>
  <c r="AI16" i="8" s="1"/>
  <c r="M14" i="10" s="1"/>
  <c r="V16" i="8"/>
  <c r="AE16" i="8" s="1"/>
  <c r="I14" i="10" s="1"/>
  <c r="X16" i="8"/>
  <c r="AG16" i="8" s="1"/>
  <c r="K14" i="10" s="1"/>
  <c r="S16" i="8"/>
  <c r="AB16" i="8" s="1"/>
  <c r="Y16" i="8"/>
  <c r="AH16" i="8" s="1"/>
  <c r="L14" i="10" s="1"/>
  <c r="T16" i="8"/>
  <c r="AC16" i="8" s="1"/>
  <c r="G14" i="10" s="1"/>
  <c r="V15" i="8"/>
  <c r="AE15" i="8" s="1"/>
  <c r="I13" i="10" s="1"/>
  <c r="U15" i="8"/>
  <c r="AD15" i="8" s="1"/>
  <c r="H13" i="10" s="1"/>
  <c r="Y15" i="8"/>
  <c r="AH15" i="8" s="1"/>
  <c r="L13" i="10" s="1"/>
  <c r="T15" i="8"/>
  <c r="AC15" i="8" s="1"/>
  <c r="G13" i="10" s="1"/>
  <c r="W15" i="8"/>
  <c r="AF15" i="8" s="1"/>
  <c r="J13" i="10" s="1"/>
  <c r="S15" i="8"/>
  <c r="AB15" i="8" s="1"/>
  <c r="Z15" i="8"/>
  <c r="AI15" i="8" s="1"/>
  <c r="M13" i="10" s="1"/>
  <c r="X15" i="8"/>
  <c r="AG15" i="8" s="1"/>
  <c r="K13" i="10" s="1"/>
  <c r="Y14" i="8"/>
  <c r="AH14" i="8" s="1"/>
  <c r="L12" i="10" s="1"/>
  <c r="X14" i="8"/>
  <c r="AG14" i="8" s="1"/>
  <c r="K12" i="10" s="1"/>
  <c r="V14" i="8"/>
  <c r="AE14" i="8" s="1"/>
  <c r="I12" i="10" s="1"/>
  <c r="W14" i="8"/>
  <c r="AF14" i="8" s="1"/>
  <c r="J12" i="10" s="1"/>
  <c r="U14" i="8"/>
  <c r="AD14" i="8" s="1"/>
  <c r="H12" i="10" s="1"/>
  <c r="T14" i="8"/>
  <c r="AC14" i="8" s="1"/>
  <c r="G12" i="10" s="1"/>
  <c r="Z14" i="8"/>
  <c r="AI14" i="8" s="1"/>
  <c r="M12" i="10" s="1"/>
  <c r="S14" i="8"/>
  <c r="AB14" i="8" s="1"/>
  <c r="V13" i="8"/>
  <c r="AE13" i="8" s="1"/>
  <c r="I11" i="10" s="1"/>
  <c r="X13" i="8"/>
  <c r="AG13" i="8" s="1"/>
  <c r="K11" i="10" s="1"/>
  <c r="T13" i="8"/>
  <c r="AC13" i="8" s="1"/>
  <c r="G11" i="10" s="1"/>
  <c r="U13" i="8"/>
  <c r="AD13" i="8" s="1"/>
  <c r="H11" i="10" s="1"/>
  <c r="Z13" i="8"/>
  <c r="AI13" i="8" s="1"/>
  <c r="M11" i="10" s="1"/>
  <c r="W13" i="8"/>
  <c r="AF13" i="8" s="1"/>
  <c r="J11" i="10" s="1"/>
  <c r="Y13" i="8"/>
  <c r="AH13" i="8" s="1"/>
  <c r="L11" i="10" s="1"/>
  <c r="S13" i="8"/>
  <c r="AB13" i="8" s="1"/>
  <c r="W12" i="8"/>
  <c r="AF12" i="8" s="1"/>
  <c r="J10" i="10" s="1"/>
  <c r="Z12" i="8"/>
  <c r="AI12" i="8" s="1"/>
  <c r="M10" i="10" s="1"/>
  <c r="X12" i="8"/>
  <c r="AG12" i="8" s="1"/>
  <c r="K10" i="10" s="1"/>
  <c r="T12" i="8"/>
  <c r="AC12" i="8" s="1"/>
  <c r="G10" i="10" s="1"/>
  <c r="Y12" i="8"/>
  <c r="AH12" i="8" s="1"/>
  <c r="L10" i="10" s="1"/>
  <c r="U12" i="8"/>
  <c r="AD12" i="8" s="1"/>
  <c r="H10" i="10" s="1"/>
  <c r="S12" i="8"/>
  <c r="AB12" i="8" s="1"/>
  <c r="V12" i="8"/>
  <c r="AE12" i="8" s="1"/>
  <c r="I10" i="10" s="1"/>
  <c r="Z11" i="8"/>
  <c r="AI11" i="8" s="1"/>
  <c r="M9" i="10" s="1"/>
  <c r="X11" i="8"/>
  <c r="AG11" i="8" s="1"/>
  <c r="K9" i="10" s="1"/>
  <c r="T11" i="8"/>
  <c r="AC11" i="8" s="1"/>
  <c r="G9" i="10" s="1"/>
  <c r="Y11" i="8"/>
  <c r="AH11" i="8" s="1"/>
  <c r="L9" i="10" s="1"/>
  <c r="V11" i="8"/>
  <c r="AE11" i="8" s="1"/>
  <c r="I9" i="10" s="1"/>
  <c r="U11" i="8"/>
  <c r="AD11" i="8" s="1"/>
  <c r="H9" i="10" s="1"/>
  <c r="S11" i="8"/>
  <c r="AB11" i="8" s="1"/>
  <c r="W11" i="8"/>
  <c r="AF11" i="8" s="1"/>
  <c r="J9" i="10" s="1"/>
  <c r="V10" i="8"/>
  <c r="AE10" i="8" s="1"/>
  <c r="I8" i="10" s="1"/>
  <c r="Z10" i="8"/>
  <c r="AI10" i="8" s="1"/>
  <c r="M8" i="10" s="1"/>
  <c r="U10" i="8"/>
  <c r="AD10" i="8" s="1"/>
  <c r="H8" i="10" s="1"/>
  <c r="Y10" i="8"/>
  <c r="AH10" i="8" s="1"/>
  <c r="L8" i="10" s="1"/>
  <c r="X10" i="8"/>
  <c r="AG10" i="8" s="1"/>
  <c r="K8" i="10" s="1"/>
  <c r="T10" i="8"/>
  <c r="AC10" i="8" s="1"/>
  <c r="G8" i="10" s="1"/>
  <c r="S10" i="8"/>
  <c r="AB10" i="8" s="1"/>
  <c r="W10" i="8"/>
  <c r="AF10" i="8" s="1"/>
  <c r="J8" i="10" s="1"/>
  <c r="Z9" i="8"/>
  <c r="AI9" i="8" s="1"/>
  <c r="M7" i="10" s="1"/>
  <c r="Y9" i="8"/>
  <c r="AH9" i="8" s="1"/>
  <c r="L7" i="10" s="1"/>
  <c r="T9" i="8"/>
  <c r="AC9" i="8" s="1"/>
  <c r="G7" i="10" s="1"/>
  <c r="W9" i="8"/>
  <c r="AF9" i="8" s="1"/>
  <c r="J7" i="10" s="1"/>
  <c r="V9" i="8"/>
  <c r="AE9" i="8" s="1"/>
  <c r="I7" i="10" s="1"/>
  <c r="X9" i="8"/>
  <c r="AG9" i="8" s="1"/>
  <c r="K7" i="10" s="1"/>
  <c r="U9" i="8"/>
  <c r="AD9" i="8" s="1"/>
  <c r="H7" i="10" s="1"/>
  <c r="S9" i="8"/>
  <c r="AB9" i="8" s="1"/>
  <c r="X8" i="8"/>
  <c r="AG8" i="8" s="1"/>
  <c r="K6" i="10" s="1"/>
  <c r="Z8" i="8"/>
  <c r="AI8" i="8" s="1"/>
  <c r="M6" i="10" s="1"/>
  <c r="W8" i="8"/>
  <c r="AF8" i="8" s="1"/>
  <c r="J6" i="10" s="1"/>
  <c r="T8" i="8"/>
  <c r="AC8" i="8" s="1"/>
  <c r="G6" i="10" s="1"/>
  <c r="Y8" i="8"/>
  <c r="AH8" i="8" s="1"/>
  <c r="L6" i="10" s="1"/>
  <c r="U8" i="8"/>
  <c r="AD8" i="8" s="1"/>
  <c r="H6" i="10" s="1"/>
  <c r="S8" i="8"/>
  <c r="AB8" i="8" s="1"/>
  <c r="V8" i="8"/>
  <c r="AE8" i="8" s="1"/>
  <c r="I6" i="10" s="1"/>
  <c r="E26" i="12"/>
  <c r="E22" i="12"/>
  <c r="E24" i="12"/>
  <c r="E28" i="12"/>
  <c r="E20" i="12"/>
  <c r="E30" i="12"/>
  <c r="E25" i="12"/>
  <c r="E27" i="12"/>
  <c r="E21" i="12"/>
  <c r="B2" i="15" s="1"/>
  <c r="E29" i="12"/>
  <c r="E31" i="12"/>
  <c r="E23" i="12"/>
  <c r="M20" i="12"/>
  <c r="M29" i="12"/>
  <c r="M27" i="12"/>
  <c r="M25" i="12"/>
  <c r="M22" i="12"/>
  <c r="M31" i="12"/>
  <c r="M30" i="12"/>
  <c r="M28" i="12"/>
  <c r="M26" i="12"/>
  <c r="M24" i="12"/>
  <c r="M21" i="12"/>
  <c r="M23" i="12"/>
  <c r="E21" i="13"/>
  <c r="G21" i="13" s="1"/>
  <c r="E25" i="13"/>
  <c r="G25" i="13" s="1"/>
  <c r="L25" i="12"/>
  <c r="L27" i="12"/>
  <c r="L26" i="12"/>
  <c r="L28" i="12"/>
  <c r="L21" i="12"/>
  <c r="L29" i="12"/>
  <c r="L30" i="12"/>
  <c r="L24" i="12"/>
  <c r="L20" i="12"/>
  <c r="L23" i="12"/>
  <c r="L31" i="12"/>
  <c r="L22" i="12"/>
  <c r="H31" i="12"/>
  <c r="H25" i="12"/>
  <c r="H24" i="12"/>
  <c r="H30" i="12"/>
  <c r="H28" i="12"/>
  <c r="H20" i="12"/>
  <c r="H27" i="12"/>
  <c r="H29" i="12"/>
  <c r="H21" i="12"/>
  <c r="B17" i="15" s="1"/>
  <c r="H22" i="12"/>
  <c r="H23" i="12"/>
  <c r="H26" i="12"/>
  <c r="F20" i="12"/>
  <c r="F25" i="12"/>
  <c r="F23" i="12"/>
  <c r="F28" i="12"/>
  <c r="F26" i="12"/>
  <c r="F31" i="12"/>
  <c r="F30" i="12"/>
  <c r="F24" i="12"/>
  <c r="F29" i="12"/>
  <c r="F22" i="12"/>
  <c r="F27" i="12"/>
  <c r="F21" i="12"/>
  <c r="B22" i="15" s="1"/>
  <c r="G25" i="12"/>
  <c r="G28" i="12"/>
  <c r="G26" i="12"/>
  <c r="G23" i="12"/>
  <c r="G30" i="12"/>
  <c r="G21" i="12"/>
  <c r="G31" i="12"/>
  <c r="G27" i="12"/>
  <c r="G20" i="12"/>
  <c r="G22" i="12"/>
  <c r="G29" i="12"/>
  <c r="G24" i="12"/>
  <c r="D24" i="12"/>
  <c r="D28" i="12"/>
  <c r="D26" i="12"/>
  <c r="D23" i="12"/>
  <c r="D20" i="12"/>
  <c r="D31" i="12"/>
  <c r="D25" i="12"/>
  <c r="D30" i="12"/>
  <c r="D27" i="12"/>
  <c r="D22" i="12"/>
  <c r="D21" i="12"/>
  <c r="D29" i="12"/>
  <c r="L22" i="7"/>
  <c r="C9" i="14"/>
  <c r="C2" i="14"/>
  <c r="C17" i="14"/>
  <c r="C22" i="14"/>
  <c r="E24" i="13"/>
  <c r="G24" i="13" s="1"/>
  <c r="L25" i="7"/>
  <c r="F16" i="10" l="1"/>
  <c r="I16" i="9"/>
  <c r="F15" i="10"/>
  <c r="I15" i="9"/>
  <c r="F14" i="10"/>
  <c r="I14" i="9"/>
  <c r="F13" i="10"/>
  <c r="I13" i="9"/>
  <c r="F12" i="10"/>
  <c r="I12" i="9"/>
  <c r="F11" i="10"/>
  <c r="I11" i="9"/>
  <c r="F10" i="10"/>
  <c r="I10" i="9"/>
  <c r="F9" i="10"/>
  <c r="I9" i="9"/>
  <c r="F8" i="10"/>
  <c r="I8" i="9"/>
  <c r="F7" i="10"/>
  <c r="I7" i="9"/>
  <c r="F6" i="10"/>
  <c r="I6" i="9"/>
  <c r="J26" i="12"/>
  <c r="J22" i="12"/>
  <c r="J23" i="12"/>
  <c r="J28" i="12"/>
  <c r="J20" i="12"/>
  <c r="J25" i="12"/>
  <c r="J24" i="12"/>
  <c r="J31" i="12"/>
  <c r="J21" i="12"/>
  <c r="J29" i="12"/>
  <c r="J27" i="12"/>
  <c r="J30" i="12"/>
  <c r="K20" i="12"/>
  <c r="K25" i="12"/>
  <c r="K30" i="12"/>
  <c r="K23" i="12"/>
  <c r="K24" i="12"/>
  <c r="K28" i="12"/>
  <c r="K26" i="12"/>
  <c r="K29" i="12"/>
  <c r="K31" i="12"/>
  <c r="K27" i="12"/>
  <c r="K22" i="12"/>
  <c r="K21" i="12"/>
  <c r="I26" i="12"/>
  <c r="I24" i="12"/>
  <c r="I31" i="12"/>
  <c r="I22" i="12"/>
  <c r="I27" i="12"/>
  <c r="I23" i="12"/>
  <c r="I28" i="12"/>
  <c r="I20" i="12"/>
  <c r="I30" i="12"/>
  <c r="I21" i="12"/>
  <c r="I29" i="12"/>
  <c r="I25" i="12"/>
  <c r="B9" i="15"/>
  <c r="N5" i="9"/>
  <c r="N21" i="12" l="1"/>
  <c r="D2" i="14"/>
  <c r="D9" i="14"/>
  <c r="D22" i="14"/>
  <c r="D17" i="14"/>
  <c r="K8" i="9"/>
  <c r="K7" i="9"/>
  <c r="L12" i="9"/>
  <c r="N13" i="9"/>
  <c r="N14" i="9"/>
  <c r="L14" i="9"/>
  <c r="L15" i="9"/>
  <c r="N11" i="9"/>
  <c r="N10" i="9"/>
  <c r="M12" i="9"/>
  <c r="M14" i="9"/>
  <c r="K12" i="9"/>
  <c r="K14" i="9"/>
  <c r="N16" i="9"/>
  <c r="N9" i="9"/>
  <c r="N12" i="9"/>
  <c r="M5" i="9"/>
  <c r="L13" i="9"/>
  <c r="L16" i="9"/>
  <c r="L7" i="9"/>
  <c r="K13" i="9"/>
  <c r="N8" i="9"/>
  <c r="K9" i="9"/>
  <c r="L9" i="9"/>
  <c r="M13" i="9"/>
  <c r="L10" i="9"/>
  <c r="M16" i="9"/>
  <c r="M10" i="9"/>
  <c r="L5" i="9"/>
  <c r="K10" i="9"/>
  <c r="L8" i="9"/>
  <c r="L6" i="9"/>
  <c r="L11" i="9"/>
  <c r="N6" i="9"/>
  <c r="M6" i="9"/>
  <c r="M11" i="9"/>
  <c r="M7" i="9"/>
  <c r="K15" i="9"/>
  <c r="M9" i="9"/>
  <c r="M15" i="9"/>
  <c r="N15" i="9"/>
  <c r="M8" i="9"/>
  <c r="K16" i="9"/>
  <c r="K11" i="9"/>
  <c r="N7" i="9"/>
  <c r="K5" i="9"/>
  <c r="K6" i="9"/>
  <c r="G17" i="14" l="1"/>
  <c r="D17" i="15" s="1"/>
  <c r="F17" i="14"/>
  <c r="C17" i="15" s="1"/>
  <c r="G22" i="14"/>
  <c r="D22" i="15" s="1"/>
  <c r="F22" i="14"/>
  <c r="C22" i="15" s="1"/>
  <c r="F9" i="14"/>
  <c r="C9" i="15" s="1"/>
  <c r="G9" i="14"/>
  <c r="D9" i="15" s="1"/>
  <c r="G2" i="14"/>
  <c r="D2" i="15" s="1"/>
  <c r="F2" i="14"/>
  <c r="C2" i="15" s="1"/>
</calcChain>
</file>

<file path=xl/sharedStrings.xml><?xml version="1.0" encoding="utf-8"?>
<sst xmlns="http://schemas.openxmlformats.org/spreadsheetml/2006/main" count="739" uniqueCount="308">
  <si>
    <t>Walls</t>
  </si>
  <si>
    <t>Columns</t>
  </si>
  <si>
    <t>Beams</t>
  </si>
  <si>
    <t>Foundation</t>
  </si>
  <si>
    <t>Windows</t>
  </si>
  <si>
    <t>Doors</t>
  </si>
  <si>
    <t>Ceilings</t>
  </si>
  <si>
    <t>Floors</t>
  </si>
  <si>
    <t>Impact category UUID</t>
  </si>
  <si>
    <t>Impact category</t>
  </si>
  <si>
    <t>Reference unit</t>
  </si>
  <si>
    <t>e48c706a-4823-40e1-9db2-5a69cb074635</t>
  </si>
  <si>
    <t>acidification - acidification (incl. fate, average Europe total, A&amp;B)</t>
  </si>
  <si>
    <t>kg SO2-Eq</t>
  </si>
  <si>
    <t>9833d5d5-c6f1-4d5c-b494-9eabea2e7776</t>
  </si>
  <si>
    <t>climate change - global warming potential (GWP100)</t>
  </si>
  <si>
    <t>kg CO2-Eq</t>
  </si>
  <si>
    <t>kg 1,4-DCB-Eq</t>
  </si>
  <si>
    <t>1ec7e578-c71a-4b24-b826-f061f29b8a8d</t>
  </si>
  <si>
    <t>eutrophication - eutrophication (fate not incl.)</t>
  </si>
  <si>
    <t>kg PO4-Eq</t>
  </si>
  <si>
    <t>da7a6041-df62-47d5-8608-3188fa76a912</t>
  </si>
  <si>
    <t>human toxicity - human toxicity (HTP inf)</t>
  </si>
  <si>
    <t>a87a6738-00f6-4ac0-ab3e-6bb074d9be2b</t>
  </si>
  <si>
    <t>ozone depletion - ozone layer depletion (ODP steady state)</t>
  </si>
  <si>
    <t>kg CFC-11-Eq</t>
  </si>
  <si>
    <t>MJ-Eq</t>
  </si>
  <si>
    <t>76710671-df16-41c6-afde-aabf6e466048</t>
  </si>
  <si>
    <t>total - energy content (HHV)</t>
  </si>
  <si>
    <t xml:space="preserve">Material impact(per kg) </t>
  </si>
  <si>
    <t>Process</t>
  </si>
  <si>
    <t>Location</t>
  </si>
  <si>
    <t>Material_Inventory</t>
  </si>
  <si>
    <t>market for concrete, 25MPa | concrete, 25MPa | Consequential, S</t>
  </si>
  <si>
    <t>market for tap water | tap water | Consequential, S</t>
  </si>
  <si>
    <t>reinforcing steel production | reinforcing steel | Consequential, S</t>
  </si>
  <si>
    <t>sheet rolling, aluminium | sheet rolling, aluminium | Consequential, S</t>
  </si>
  <si>
    <t>silica sand production | silica sand | Consequential, S</t>
  </si>
  <si>
    <t>RoW</t>
  </si>
  <si>
    <t>IN</t>
  </si>
  <si>
    <t>ccc7544b-c699-48d2-91f8-31209a4d47f2</t>
  </si>
  <si>
    <t>ecotoxicity: freshwater - freshwater aquatic ecotoxicity (FAETP inf)</t>
  </si>
  <si>
    <t>c829fe54-ae83-4611-8027-2bc4cef05aa6</t>
  </si>
  <si>
    <t>ecotoxicity: marine - marine aquatic ecotoxicity (MAETP inf)</t>
  </si>
  <si>
    <t>dba9d7d0-d0de-442f-93ee-e3ccb738fab1</t>
  </si>
  <si>
    <t>ecotoxicity: terrestrial - terrestrial ecotoxicity (TETP inf)</t>
  </si>
  <si>
    <t>ba49e772-ceda-46bf-a554-0668f60b62d5</t>
  </si>
  <si>
    <t>energy resources: non-renewable - abiotic depletion potential (ADP): fossil fuels</t>
  </si>
  <si>
    <t>MJ</t>
  </si>
  <si>
    <t>ea007e6e-2c17-41eb-b3d6-372c42dc3bfc</t>
  </si>
  <si>
    <t>material resources: metals/minerals - abiotic depletion potential (ADP): elements (ultimate reserves)</t>
  </si>
  <si>
    <t>kg Sb-Eq</t>
  </si>
  <si>
    <t>b17b790c-9bd9-4eeb-9e65-44ed19e2e5c5</t>
  </si>
  <si>
    <t>photochemical oxidant formation - photochemical oxidation (high NOx)</t>
  </si>
  <si>
    <t>kg ethylene-Eq</t>
  </si>
  <si>
    <t>Total Volume</t>
  </si>
  <si>
    <t xml:space="preserve">for 1 m cube </t>
  </si>
  <si>
    <t>bc5082d2-5d46-41f2-8180-a9ff2a631f81</t>
  </si>
  <si>
    <t>diesel production, petroleum refinery operation | diesel | Consequential, S</t>
  </si>
  <si>
    <t>35fdd6b6-2553-4efb-8b00-1b7da39edcb6</t>
  </si>
  <si>
    <t>electricity voltage transformation from high to medium voltage | electricity, medium voltage | Consequential, S</t>
  </si>
  <si>
    <t>b417dcba-e84c-4882-9d3a-62420bfc681a</t>
  </si>
  <si>
    <t>281a645e-7cc7-49ca-ac92-87cc32126609</t>
  </si>
  <si>
    <t>3ec7834a-cec7-474a-8793-43ad8c73baa2</t>
  </si>
  <si>
    <t>6d8fe57a-d11b-451d-b913-65ac87d98b1e</t>
  </si>
  <si>
    <t>267ffa57-2a3c-41ee-b9cd-936bfbbcab5e</t>
  </si>
  <si>
    <t>30a0a469-f322-4677-91a3-1d94632f2770</t>
  </si>
  <si>
    <t>market for slab and siding, hardwood, wet, measured as dry mass | slab and siding, hardwood, wet, measured as dry mass | Consequential, S</t>
  </si>
  <si>
    <t>e484a658-e865-47d4-9f9e-3f22bef1496d</t>
  </si>
  <si>
    <t>f89e8087-859c-4a58-9636-2d6956b95f67</t>
  </si>
  <si>
    <t>528e9edb-0f4b-493e-96e8-cfe7f7ba7b8a</t>
  </si>
  <si>
    <t>53a26879-6e72-460b-a3ed-2eb5452ee5b6</t>
  </si>
  <si>
    <t>233b8854-6ada-4e3e-a7ff-236b5561c45a</t>
  </si>
  <si>
    <t>transport, tractor and trailer, agricultural | transport, tractor and trailer, agricultural | Consequential, S</t>
  </si>
  <si>
    <t>Overall_Impact</t>
  </si>
  <si>
    <t>Material Production</t>
  </si>
  <si>
    <t>Construction Phase</t>
  </si>
  <si>
    <t>IN-Southern grid</t>
  </si>
  <si>
    <t>.</t>
  </si>
  <si>
    <t>Use Phase</t>
  </si>
  <si>
    <t>Electricity(KWh)</t>
  </si>
  <si>
    <t>Water(kg)</t>
  </si>
  <si>
    <t>Demolition Phase</t>
  </si>
  <si>
    <t>Total Demand(Annual)</t>
  </si>
  <si>
    <t>Life_Time Consumption(50 years)</t>
  </si>
  <si>
    <t>Process UUID</t>
  </si>
  <si>
    <t>697bc6b7-51a8-42b2-bc82-ef1d6dfd8ce5</t>
  </si>
  <si>
    <t>15051faa-96dc-47c5-9f0a-38991184b23a</t>
  </si>
  <si>
    <t>980591ff-ec58-4a00-9d5e-82348f1bb235</t>
  </si>
  <si>
    <t>db3a4092-5f8d-4935-bb73-4e78ab9ae86e</t>
  </si>
  <si>
    <t>10cb532f-1619-4eb8-822a-177b0caaff1b</t>
  </si>
  <si>
    <t>d317774a-85a4-49c8-ba58-17049f375820</t>
  </si>
  <si>
    <t>434e6ca8-2f6b-444f-9701-0c7cb7c85b7d</t>
  </si>
  <si>
    <t>0477aa21-be47-494f-b2a9-f0008e9435d3</t>
  </si>
  <si>
    <t>fd810501-2a72-4985-96cb-77ec805b8319</t>
  </si>
  <si>
    <t>excavation, skid-steer loader | excavation, skid-steer loader | Consequential, S</t>
  </si>
  <si>
    <t>market for scrap copper | scrap copper | Consequential, S</t>
  </si>
  <si>
    <t>market for waste brick | waste brick | Consequential, S</t>
  </si>
  <si>
    <t>market for waste cement in concrete and mortar | waste cement in concrete and mortar | Consequential, S</t>
  </si>
  <si>
    <t>market for waste concrete | waste concrete | Consequential, S</t>
  </si>
  <si>
    <t>market for waste concrete, not reinforced | waste concrete, not reinforced | Consequential, S</t>
  </si>
  <si>
    <t>market for waste glass | waste glass | Consequential, S</t>
  </si>
  <si>
    <t>market for waste paint | waste paint | Consequential, S</t>
  </si>
  <si>
    <t>market for waste wood, untreated | waste wood, untreated | Consequential, S</t>
  </si>
  <si>
    <t>treatment of waste aluminium, sanitary landfill | waste aluminium | Consequential, S</t>
  </si>
  <si>
    <t>(per metere cube)</t>
  </si>
  <si>
    <t>Overall impact</t>
  </si>
  <si>
    <t>Various Life cycle phase impacts</t>
  </si>
  <si>
    <t>End of Life phase</t>
  </si>
  <si>
    <t>Material Production Phase</t>
  </si>
  <si>
    <t>Embodied Impacts at component level</t>
  </si>
  <si>
    <t>Cement</t>
  </si>
  <si>
    <t>Aggregate</t>
  </si>
  <si>
    <t>Sand</t>
  </si>
  <si>
    <t>Steel</t>
  </si>
  <si>
    <t>Aluminium</t>
  </si>
  <si>
    <t>Glass</t>
  </si>
  <si>
    <t>Wood</t>
  </si>
  <si>
    <t>paint</t>
  </si>
  <si>
    <t>water</t>
  </si>
  <si>
    <t xml:space="preserve"> </t>
  </si>
  <si>
    <t>glass fibre production | glass fibre | Consequential, S done</t>
  </si>
  <si>
    <t>market for alkyd paint, white, without solvent, in 60% solution state | alkyd paint, white, without solvent, in 60% solution state | Consequential, S done</t>
  </si>
  <si>
    <t>market for cement mortar | cement mortar | Consequential, S-done</t>
  </si>
  <si>
    <t>market for cement, CEM II/A | cement, CEM II/A | Consequential, S-done</t>
  </si>
  <si>
    <t>Electricity(Kwh)</t>
  </si>
  <si>
    <t>Water(L)</t>
  </si>
  <si>
    <t>Fuel(kg)</t>
  </si>
  <si>
    <t>5c7adfef-7b76-498e-ba5c-8bc18787f5a3</t>
  </si>
  <si>
    <t>treatment of waste reinforcement steel, collection for final disposal | waste reinforcement steel | Consequential, S</t>
  </si>
  <si>
    <t>Done</t>
  </si>
  <si>
    <t>011a2555-e0e8-4e9d-8f6b-206bac7a05fb</t>
  </si>
  <si>
    <t>a19c83ff-4ca8-43d8-ae70-cd49cc03b3aa</t>
  </si>
  <si>
    <t>clay brick production | clay brick | Consequential, S</t>
  </si>
  <si>
    <t>2d2acab8-9add-49cf-8fdd-0dcfce9a420a</t>
  </si>
  <si>
    <t>natural gas production, medium pressure, vehicle grade | natural gas, medium pressure, vehicle grade | Consequential, S</t>
  </si>
  <si>
    <t>Brick</t>
  </si>
  <si>
    <t>Total</t>
  </si>
  <si>
    <t>545f8204-bc4e-4b77-9f8b-abdd43c4b8fb</t>
  </si>
  <si>
    <t>' Walls(Materials per m cube)</t>
  </si>
  <si>
    <t>' Columns</t>
  </si>
  <si>
    <t>' Beams</t>
  </si>
  <si>
    <t>' Foundations</t>
  </si>
  <si>
    <t>' Doors and Windows</t>
  </si>
  <si>
    <t>' Ceilings</t>
  </si>
  <si>
    <t>' Floors</t>
  </si>
  <si>
    <t>Transportation distance for cement(Assumed as 50 km)</t>
  </si>
  <si>
    <t>Transportation distance for silica sand(Assumed as 50 km)</t>
  </si>
  <si>
    <t>Transportation distance for Alkyd paint(Assumed as 50 km)</t>
  </si>
  <si>
    <t>Transportation distance for gravel(Assumed as 50 km)</t>
  </si>
  <si>
    <t>Transportation distance for steel(Assumed as 50 km)</t>
  </si>
  <si>
    <t>Transportation distance for glass(Assumed as 50 km)</t>
  </si>
  <si>
    <t>Transportation distance for aluminium(Assumed as 50 km)</t>
  </si>
  <si>
    <t>Transportation distance for wood(Assumed as 50 km)</t>
  </si>
  <si>
    <t xml:space="preserve"> Building_Lifetime (Assumed as 50 Years)</t>
  </si>
  <si>
    <t xml:space="preserve"> Cement for Walls</t>
  </si>
  <si>
    <t>Silica Sand for Walls</t>
  </si>
  <si>
    <t xml:space="preserve"> Tap Water for Walls</t>
  </si>
  <si>
    <t>Alkyd Paints for Walls</t>
  </si>
  <si>
    <t xml:space="preserve">Total_Wall_Materials </t>
  </si>
  <si>
    <t>C_W + SS_W + TW_W + AP_W + ST_W</t>
  </si>
  <si>
    <t xml:space="preserve"> Building_Lifetime  </t>
  </si>
  <si>
    <t xml:space="preserve">ST_W </t>
  </si>
  <si>
    <t>Cement for Columns</t>
  </si>
  <si>
    <t>Silica Sand for Columns</t>
  </si>
  <si>
    <t>Gravel for Columns</t>
  </si>
  <si>
    <t>Steel for Columns</t>
  </si>
  <si>
    <t>Tap Water for Columns</t>
  </si>
  <si>
    <t>Alkyd Paints for Columns</t>
  </si>
  <si>
    <t xml:space="preserve"> SS_C</t>
  </si>
  <si>
    <t xml:space="preserve"> C_C </t>
  </si>
  <si>
    <t xml:space="preserve">G_C </t>
  </si>
  <si>
    <t xml:space="preserve"> S_C </t>
  </si>
  <si>
    <t xml:space="preserve">TW_C </t>
  </si>
  <si>
    <t xml:space="preserve"> AP_C </t>
  </si>
  <si>
    <t xml:space="preserve"> C_C + SS_C + G_C + S_C + TW_C + AP_C</t>
  </si>
  <si>
    <t xml:space="preserve">Total_Column_Materials </t>
  </si>
  <si>
    <t xml:space="preserve">AP_W </t>
  </si>
  <si>
    <t xml:space="preserve"> TW_W </t>
  </si>
  <si>
    <t xml:space="preserve">SS_W </t>
  </si>
  <si>
    <t xml:space="preserve"> C_W </t>
  </si>
  <si>
    <t xml:space="preserve"> T_W </t>
  </si>
  <si>
    <t xml:space="preserve"> T_AL </t>
  </si>
  <si>
    <t xml:space="preserve"> T_GL </t>
  </si>
  <si>
    <t xml:space="preserve"> T_S </t>
  </si>
  <si>
    <t xml:space="preserve"> T_G </t>
  </si>
  <si>
    <t xml:space="preserve">T_AP </t>
  </si>
  <si>
    <t xml:space="preserve">T_ST </t>
  </si>
  <si>
    <t xml:space="preserve">T_SS </t>
  </si>
  <si>
    <t xml:space="preserve"> T_C </t>
  </si>
  <si>
    <t xml:space="preserve"> T_D </t>
  </si>
  <si>
    <t>Cement for Beams</t>
  </si>
  <si>
    <t>Silica Sand for Beams</t>
  </si>
  <si>
    <t>Gravel for Beams</t>
  </si>
  <si>
    <t>Steel for Beams</t>
  </si>
  <si>
    <t>Tap Water for Beams</t>
  </si>
  <si>
    <t>Alkyd Paints for Beams</t>
  </si>
  <si>
    <t xml:space="preserve">C_B </t>
  </si>
  <si>
    <t xml:space="preserve"> SS_B </t>
  </si>
  <si>
    <t xml:space="preserve"> G_B </t>
  </si>
  <si>
    <t xml:space="preserve"> S_B </t>
  </si>
  <si>
    <t xml:space="preserve"> TW_B </t>
  </si>
  <si>
    <t xml:space="preserve"> AP_B </t>
  </si>
  <si>
    <t>C_B + SS_B + G_B + S_B + TW_B + AP_B</t>
  </si>
  <si>
    <t xml:space="preserve">Total_Beam_Materials </t>
  </si>
  <si>
    <t>Cement for Foundations</t>
  </si>
  <si>
    <t>Silica Sand for Foundations</t>
  </si>
  <si>
    <t>Gravel for Foundations</t>
  </si>
  <si>
    <t>Steel for Foundations</t>
  </si>
  <si>
    <t>Tap Water for Foundations</t>
  </si>
  <si>
    <t>Alkyd Paints for Foundations</t>
  </si>
  <si>
    <t>Total_Foundation_Materials</t>
  </si>
  <si>
    <t>C_F + SS_F + G_F + S_F + TW_F + AP_F</t>
  </si>
  <si>
    <t xml:space="preserve"> C_F </t>
  </si>
  <si>
    <t xml:space="preserve">SS_F </t>
  </si>
  <si>
    <t xml:space="preserve"> G_F </t>
  </si>
  <si>
    <t xml:space="preserve"> S_F</t>
  </si>
  <si>
    <t xml:space="preserve"> TW_F </t>
  </si>
  <si>
    <t xml:space="preserve">AP_F </t>
  </si>
  <si>
    <t>Glass for Doors and Windows</t>
  </si>
  <si>
    <t>Aluminium for Doors and Windows</t>
  </si>
  <si>
    <t xml:space="preserve"> W_DW</t>
  </si>
  <si>
    <t>Wood for Doors and Windows</t>
  </si>
  <si>
    <t xml:space="preserve"> TW_DW</t>
  </si>
  <si>
    <t xml:space="preserve"> AP_DW</t>
  </si>
  <si>
    <t>Paint for Doors and Windows</t>
  </si>
  <si>
    <t>Total_DW_Materials</t>
  </si>
  <si>
    <t>G_DW + AL_DW + W_DW + TW_DW + AP_DW</t>
  </si>
  <si>
    <t xml:space="preserve"> AL_DW </t>
  </si>
  <si>
    <t xml:space="preserve"> G_DW </t>
  </si>
  <si>
    <t xml:space="preserve"> C_CL + SS_CL + G_CL + S_CL + TW_CL + AP_CL</t>
  </si>
  <si>
    <t xml:space="preserve">Total_Ceiling_Materials </t>
  </si>
  <si>
    <t xml:space="preserve">Total_Floor_Materials </t>
  </si>
  <si>
    <t>C_FL + SS_FL + G_FL + S_FL + TW_FL + AP_FL</t>
  </si>
  <si>
    <t xml:space="preserve"> AP_FL </t>
  </si>
  <si>
    <t xml:space="preserve"> TW_FL </t>
  </si>
  <si>
    <t xml:space="preserve"> S_FL </t>
  </si>
  <si>
    <t xml:space="preserve">G_FL </t>
  </si>
  <si>
    <t xml:space="preserve"> SS_FL </t>
  </si>
  <si>
    <t xml:space="preserve"> C_FL </t>
  </si>
  <si>
    <t xml:space="preserve"> AP_CL </t>
  </si>
  <si>
    <t xml:space="preserve"> TW_CL </t>
  </si>
  <si>
    <t xml:space="preserve"> S_CL </t>
  </si>
  <si>
    <t xml:space="preserve"> G_CL </t>
  </si>
  <si>
    <t xml:space="preserve">SS_CL </t>
  </si>
  <si>
    <t xml:space="preserve">C_CL </t>
  </si>
  <si>
    <t>Brick for Walls</t>
  </si>
  <si>
    <t>Transportation distance for brick(Assumed as 50 km)</t>
  </si>
  <si>
    <t>Parameters_name</t>
  </si>
  <si>
    <t>Parameters_value</t>
  </si>
  <si>
    <t>Transportation distance for demolition phase (Assumed as 50 km)</t>
  </si>
  <si>
    <t/>
  </si>
  <si>
    <t xml:space="preserve"> Material quantity in kg</t>
  </si>
  <si>
    <t>Bricks</t>
  </si>
  <si>
    <t>Gravel</t>
  </si>
  <si>
    <t>Paints</t>
  </si>
  <si>
    <t>Water</t>
  </si>
  <si>
    <t>Total volume</t>
  </si>
  <si>
    <t>Embodied impacts at matrerial  level (/kg)</t>
  </si>
  <si>
    <t>Overall embodied impacts</t>
  </si>
  <si>
    <t>Heating</t>
  </si>
  <si>
    <t>Cooling</t>
  </si>
  <si>
    <t>Lighting</t>
  </si>
  <si>
    <t>Appliances</t>
  </si>
  <si>
    <t>Pump</t>
  </si>
  <si>
    <t>Unit</t>
  </si>
  <si>
    <t>GJ</t>
  </si>
  <si>
    <t>Interior equipment</t>
  </si>
  <si>
    <t>Fans</t>
  </si>
  <si>
    <t>Percentage contribution</t>
  </si>
  <si>
    <t>Heating and cooling</t>
  </si>
  <si>
    <t>Pumps</t>
  </si>
  <si>
    <t>Material production phase</t>
  </si>
  <si>
    <t>Construction phase</t>
  </si>
  <si>
    <t>End-of-life phase</t>
  </si>
  <si>
    <t>OPC</t>
  </si>
  <si>
    <t>Materials</t>
  </si>
  <si>
    <t>LC3</t>
  </si>
  <si>
    <t>BOF steel </t>
  </si>
  <si>
    <t>DRI EAF steel </t>
  </si>
  <si>
    <t>EAF steel (scrap-based) </t>
  </si>
  <si>
    <t>Materials type</t>
  </si>
  <si>
    <t>Operational Impact</t>
  </si>
  <si>
    <t>Embodied Impacts</t>
  </si>
  <si>
    <t>Overall Impacts</t>
  </si>
  <si>
    <t>Cement_reference</t>
  </si>
  <si>
    <t>Brick_reference</t>
  </si>
  <si>
    <t>Steel_reference</t>
  </si>
  <si>
    <t>Aggregate_reference</t>
  </si>
  <si>
    <t>Overall life cycle impact</t>
  </si>
  <si>
    <t>Material embodied impact</t>
  </si>
  <si>
    <t>Building embodied impact</t>
  </si>
  <si>
    <t>Composite Cement</t>
  </si>
  <si>
    <t>Natural aggregate</t>
  </si>
  <si>
    <t>Recycled aggregate</t>
  </si>
  <si>
    <t xml:space="preserve"> gravel production, crushed | gravel, crushed | Consequential, S</t>
  </si>
  <si>
    <t>PPC</t>
  </si>
  <si>
    <t>PFC</t>
  </si>
  <si>
    <t>Solid burnt clay-FCBTK</t>
  </si>
  <si>
    <t>Solid burnt clay-flyash FCBTK</t>
  </si>
  <si>
    <t>Solid burnt clay—Zigzag kiln</t>
  </si>
  <si>
    <t>Perforated burnt clay—Zigzag kiln</t>
  </si>
  <si>
    <t>Pulverized fuel ash-lime bricks</t>
  </si>
  <si>
    <t>Pulverized fuel ash–cement bricks</t>
  </si>
  <si>
    <t>Diesel</t>
  </si>
  <si>
    <t>Water+Diesel</t>
  </si>
  <si>
    <t>Paint</t>
  </si>
  <si>
    <t>With wastage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</si>
</sst>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name val="Calibri"/>
      <family val="2"/>
    </font>
    <font>
      <b/>
      <sz val="22"/>
      <color rgb="FF7030A0"/>
      <name val="Aptos Narrow"/>
      <family val="2"/>
      <scheme val="minor"/>
    </font>
    <font>
      <sz val="11"/>
      <color indexed="8"/>
      <name val="Aptos Narrow"/>
      <family val="2"/>
      <scheme val="minor"/>
    </font>
    <font>
      <b/>
      <sz val="11"/>
      <name val="Calibri"/>
      <family val="2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00B0F0"/>
      <name val="Aptos Narrow"/>
      <family val="2"/>
      <scheme val="minor"/>
    </font>
    <font>
      <b/>
      <sz val="14"/>
      <color rgb="FF00B0F0"/>
      <name val="Aptos Narrow"/>
      <family val="2"/>
      <scheme val="minor"/>
    </font>
    <font>
      <b/>
      <sz val="18"/>
      <color rgb="FF00B0F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8"/>
      <color rgb="FF0070C0"/>
      <name val="Aptos Narrow"/>
      <family val="2"/>
      <scheme val="minor"/>
    </font>
    <font>
      <b/>
      <sz val="18"/>
      <color rgb="FF0070C0"/>
      <name val="Aptos Narrow"/>
      <family val="2"/>
      <scheme val="minor"/>
    </font>
    <font>
      <sz val="10"/>
      <color rgb="FF000000"/>
      <name val="Courier New"/>
      <family val="3"/>
    </font>
    <font>
      <b/>
      <sz val="20"/>
      <color theme="3" tint="0.249977111117893"/>
      <name val="Aptos Narrow"/>
      <family val="2"/>
      <scheme val="minor"/>
    </font>
    <font>
      <sz val="14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1" fillId="0" borderId="0" xfId="0" applyFont="1"/>
    <xf numFmtId="0" fontId="4" fillId="0" borderId="0" xfId="1"/>
    <xf numFmtId="0" fontId="5" fillId="0" borderId="0" xfId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/>
    <xf numFmtId="0" fontId="11" fillId="0" borderId="0" xfId="0" applyFont="1"/>
    <xf numFmtId="0" fontId="12" fillId="0" borderId="0" xfId="0" applyFont="1"/>
    <xf numFmtId="0" fontId="2" fillId="0" borderId="0" xfId="1" applyFont="1"/>
    <xf numFmtId="0" fontId="13" fillId="0" borderId="0" xfId="0" applyFont="1"/>
    <xf numFmtId="11" fontId="0" fillId="0" borderId="0" xfId="0" applyNumberFormat="1"/>
    <xf numFmtId="11" fontId="4" fillId="0" borderId="0" xfId="1" applyNumberFormat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/>
    <xf numFmtId="0" fontId="16" fillId="0" borderId="0" xfId="0" applyFont="1"/>
    <xf numFmtId="0" fontId="16" fillId="0" borderId="1" xfId="0" applyFont="1" applyBorder="1" applyAlignment="1">
      <alignment horizontal="right" vertical="center" wrapText="1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1" xfId="0" applyFont="1" applyBorder="1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2" borderId="0" xfId="0" applyFill="1"/>
  </cellXfs>
  <cellStyles count="2">
    <cellStyle name="Normal" xfId="0" builtinId="0"/>
    <cellStyle name="Normal 2" xfId="1" xr:uid="{885AAB23-F7F1-45E2-8EB0-047B821A30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LCA%20calculation%20for%20base%20model/Bill%20of%20qunatities.xlsx" TargetMode="External"/><Relationship Id="rId2" Type="http://schemas.openxmlformats.org/officeDocument/2006/relationships/externalLinkPath" Target="file:///C:\Users\ACER\Desktop\Nasir\Sensitivity%20analysis\LCA%20calculation%20for%20base%20model\Bill%20of%20qunatities.xlsx" TargetMode="External"/><Relationship Id="rId1" Type="http://schemas.openxmlformats.org/officeDocument/2006/relationships/externalLinkPath" Target="/Users/ACER/Desktop/Nasir/Sensitivity%20analysis/LCA%20calculation%20for%20base%20model/Bill%20of%20qunatit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tal_volume"/>
      <sheetName val="Half brick model"/>
      <sheetName val="One and half brick model"/>
      <sheetName val="Two brick model"/>
      <sheetName val="One brick model"/>
    </sheetNames>
    <sheetDataSet>
      <sheetData sheetId="0">
        <row r="2">
          <cell r="B2">
            <v>2403.484589785528</v>
          </cell>
          <cell r="C2">
            <v>160.59559035990972</v>
          </cell>
          <cell r="D2">
            <v>348.00876456223369</v>
          </cell>
          <cell r="E2">
            <v>153.60000000000028</v>
          </cell>
          <cell r="F2">
            <v>6.8787145478512217</v>
          </cell>
          <cell r="G2">
            <v>9.5127000177344474</v>
          </cell>
          <cell r="H2">
            <v>805.20658118299707</v>
          </cell>
          <cell r="I2">
            <v>339.96600000000063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F17D6-6627-466B-AE7C-26F1A35492E4}">
  <sheetPr codeName="Sheet11"/>
  <dimension ref="A1:G82"/>
  <sheetViews>
    <sheetView topLeftCell="B7" workbookViewId="0">
      <selection activeCell="E25" sqref="E25"/>
    </sheetView>
  </sheetViews>
  <sheetFormatPr defaultRowHeight="15" x14ac:dyDescent="0.25"/>
  <cols>
    <col min="1" max="1" width="22.140625" customWidth="1"/>
    <col min="2" max="2" width="48.140625" style="17" customWidth="1"/>
    <col min="3" max="3" width="46.7109375" customWidth="1"/>
    <col min="4" max="4" width="18.5703125" customWidth="1"/>
  </cols>
  <sheetData>
    <row r="1" spans="1:7" x14ac:dyDescent="0.25">
      <c r="A1" s="18" t="s">
        <v>248</v>
      </c>
      <c r="B1" s="18" t="s">
        <v>249</v>
      </c>
    </row>
    <row r="2" spans="1:7" x14ac:dyDescent="0.25">
      <c r="A2" t="s">
        <v>190</v>
      </c>
      <c r="B2" s="17">
        <v>50</v>
      </c>
      <c r="C2" t="s">
        <v>250</v>
      </c>
    </row>
    <row r="3" spans="1:7" x14ac:dyDescent="0.25">
      <c r="A3" t="s">
        <v>189</v>
      </c>
      <c r="B3" s="17">
        <v>66</v>
      </c>
      <c r="C3" t="s">
        <v>146</v>
      </c>
    </row>
    <row r="4" spans="1:7" x14ac:dyDescent="0.25">
      <c r="A4" t="s">
        <v>188</v>
      </c>
      <c r="B4" s="17">
        <v>15</v>
      </c>
      <c r="C4" t="s">
        <v>147</v>
      </c>
    </row>
    <row r="5" spans="1:7" x14ac:dyDescent="0.25">
      <c r="A5" t="s">
        <v>187</v>
      </c>
      <c r="B5" s="17">
        <v>50</v>
      </c>
      <c r="C5" t="s">
        <v>247</v>
      </c>
    </row>
    <row r="6" spans="1:7" x14ac:dyDescent="0.25">
      <c r="A6" t="s">
        <v>186</v>
      </c>
      <c r="B6" s="17">
        <v>50</v>
      </c>
      <c r="C6" t="s">
        <v>148</v>
      </c>
    </row>
    <row r="7" spans="1:7" x14ac:dyDescent="0.25">
      <c r="A7" t="s">
        <v>185</v>
      </c>
      <c r="B7" s="17">
        <v>26</v>
      </c>
      <c r="C7" t="s">
        <v>149</v>
      </c>
    </row>
    <row r="8" spans="1:7" x14ac:dyDescent="0.25">
      <c r="A8" t="s">
        <v>184</v>
      </c>
      <c r="B8" s="17">
        <v>249</v>
      </c>
      <c r="C8" t="s">
        <v>150</v>
      </c>
    </row>
    <row r="9" spans="1:7" x14ac:dyDescent="0.25">
      <c r="A9" t="s">
        <v>183</v>
      </c>
      <c r="B9" s="17">
        <v>50</v>
      </c>
      <c r="C9" t="s">
        <v>151</v>
      </c>
    </row>
    <row r="10" spans="1:7" x14ac:dyDescent="0.25">
      <c r="A10" t="s">
        <v>182</v>
      </c>
      <c r="B10" s="17">
        <v>50</v>
      </c>
      <c r="C10" t="s">
        <v>152</v>
      </c>
    </row>
    <row r="11" spans="1:7" x14ac:dyDescent="0.25">
      <c r="A11" t="s">
        <v>181</v>
      </c>
      <c r="B11" s="17">
        <v>50</v>
      </c>
      <c r="C11" t="s">
        <v>153</v>
      </c>
    </row>
    <row r="12" spans="1:7" x14ac:dyDescent="0.25">
      <c r="A12" t="s">
        <v>161</v>
      </c>
      <c r="B12" s="17">
        <v>50</v>
      </c>
      <c r="C12" t="s">
        <v>154</v>
      </c>
    </row>
    <row r="14" spans="1:7" x14ac:dyDescent="0.25">
      <c r="A14" t="s">
        <v>139</v>
      </c>
      <c r="B14" s="17" t="s">
        <v>257</v>
      </c>
      <c r="C14">
        <f>B75</f>
        <v>2403.484589785528</v>
      </c>
    </row>
    <row r="15" spans="1:7" x14ac:dyDescent="0.25">
      <c r="A15" t="s">
        <v>180</v>
      </c>
      <c r="B15" s="17">
        <v>72</v>
      </c>
      <c r="C15" t="s">
        <v>155</v>
      </c>
      <c r="D15" t="s">
        <v>252</v>
      </c>
      <c r="G15" t="s">
        <v>307</v>
      </c>
    </row>
    <row r="16" spans="1:7" x14ac:dyDescent="0.25">
      <c r="A16" t="s">
        <v>179</v>
      </c>
      <c r="B16" s="17">
        <v>288</v>
      </c>
      <c r="C16" t="s">
        <v>156</v>
      </c>
      <c r="D16" t="s">
        <v>111</v>
      </c>
      <c r="E16">
        <f>B15*C14+B23*C22+B32*C31+B41*C40+B58*C57+B67*C66</f>
        <v>823706.58746240893</v>
      </c>
      <c r="G16">
        <f>E16*1.05</f>
        <v>864891.91683552938</v>
      </c>
    </row>
    <row r="17" spans="1:7" x14ac:dyDescent="0.25">
      <c r="A17" t="s">
        <v>178</v>
      </c>
      <c r="B17" s="17">
        <v>43.2</v>
      </c>
      <c r="C17" t="s">
        <v>157</v>
      </c>
      <c r="D17" t="s">
        <v>113</v>
      </c>
      <c r="E17">
        <f>B16*C14+B24*C22+B33*C31+B42*C40+B59*C57+B68*C66</f>
        <v>1962789.5479401466</v>
      </c>
      <c r="G17">
        <f t="shared" ref="G17:G25" si="0">E17*1.05</f>
        <v>2060929.025337154</v>
      </c>
    </row>
    <row r="18" spans="1:7" x14ac:dyDescent="0.25">
      <c r="A18" t="s">
        <v>177</v>
      </c>
      <c r="B18" s="17">
        <v>0.15</v>
      </c>
      <c r="C18" t="s">
        <v>158</v>
      </c>
      <c r="D18" t="s">
        <v>253</v>
      </c>
      <c r="E18">
        <f>B19*C14</f>
        <v>3975363.5115052634</v>
      </c>
      <c r="G18">
        <f t="shared" si="0"/>
        <v>4174131.6870805267</v>
      </c>
    </row>
    <row r="19" spans="1:7" x14ac:dyDescent="0.25">
      <c r="A19" t="s">
        <v>162</v>
      </c>
      <c r="B19" s="17">
        <v>1654</v>
      </c>
      <c r="C19" t="s">
        <v>246</v>
      </c>
      <c r="D19" t="s">
        <v>254</v>
      </c>
      <c r="E19">
        <f>B25*C22+B34*C31+B43*C40+B60*C57+B69*C66</f>
        <v>2156200.684773434</v>
      </c>
      <c r="G19">
        <f t="shared" si="0"/>
        <v>2264010.7190121058</v>
      </c>
    </row>
    <row r="20" spans="1:7" x14ac:dyDescent="0.25">
      <c r="A20" t="s">
        <v>159</v>
      </c>
      <c r="B20" s="17" t="s">
        <v>160</v>
      </c>
      <c r="D20" t="s">
        <v>255</v>
      </c>
      <c r="E20">
        <f>SUM(B75:B82)*0.15</f>
        <v>634.08794106843834</v>
      </c>
      <c r="G20">
        <f t="shared" si="0"/>
        <v>665.79233812186033</v>
      </c>
    </row>
    <row r="21" spans="1:7" x14ac:dyDescent="0.25">
      <c r="D21" t="s">
        <v>115</v>
      </c>
      <c r="E21">
        <f>B51*C49</f>
        <v>8892.3424018302267</v>
      </c>
      <c r="G21">
        <f t="shared" si="0"/>
        <v>9336.959521921739</v>
      </c>
    </row>
    <row r="22" spans="1:7" x14ac:dyDescent="0.25">
      <c r="A22" t="s">
        <v>140</v>
      </c>
      <c r="B22" s="17" t="s">
        <v>55</v>
      </c>
      <c r="C22">
        <f>B76</f>
        <v>160.59559035990972</v>
      </c>
      <c r="D22" t="s">
        <v>114</v>
      </c>
      <c r="E22">
        <f>(B76+B77+B78+B81+B82)*100</f>
        <v>180737.69361051414</v>
      </c>
      <c r="G22">
        <f t="shared" si="0"/>
        <v>189774.57829103986</v>
      </c>
    </row>
    <row r="23" spans="1:7" x14ac:dyDescent="0.25">
      <c r="A23" t="s">
        <v>170</v>
      </c>
      <c r="B23" s="17">
        <v>360</v>
      </c>
      <c r="C23" t="s">
        <v>163</v>
      </c>
      <c r="D23" t="s">
        <v>256</v>
      </c>
      <c r="E23">
        <f>B17*C14+B27*C22+B36*C31+B45*C40+B62*C57+B71*C66+B53*C49</f>
        <v>345031.2375089979</v>
      </c>
      <c r="G23">
        <f t="shared" si="0"/>
        <v>362282.7993844478</v>
      </c>
    </row>
    <row r="24" spans="1:7" x14ac:dyDescent="0.25">
      <c r="A24" t="s">
        <v>169</v>
      </c>
      <c r="B24" s="17">
        <v>703</v>
      </c>
      <c r="C24" t="s">
        <v>164</v>
      </c>
      <c r="D24" t="s">
        <v>116</v>
      </c>
      <c r="E24">
        <f>B50*C49</f>
        <v>16391.41456558567</v>
      </c>
      <c r="G24">
        <f t="shared" si="0"/>
        <v>17210.985293864953</v>
      </c>
    </row>
    <row r="25" spans="1:7" x14ac:dyDescent="0.25">
      <c r="A25" t="s">
        <v>171</v>
      </c>
      <c r="B25" s="17">
        <v>1193</v>
      </c>
      <c r="C25" t="s">
        <v>165</v>
      </c>
      <c r="D25" t="s">
        <v>117</v>
      </c>
      <c r="E25">
        <f>B52*C49</f>
        <v>3278.2829131171338</v>
      </c>
      <c r="G25">
        <f t="shared" si="0"/>
        <v>3442.1970587729907</v>
      </c>
    </row>
    <row r="26" spans="1:7" x14ac:dyDescent="0.25">
      <c r="A26" t="s">
        <v>172</v>
      </c>
      <c r="B26" s="17">
        <v>100</v>
      </c>
      <c r="C26" t="s">
        <v>166</v>
      </c>
    </row>
    <row r="27" spans="1:7" x14ac:dyDescent="0.25">
      <c r="A27" t="s">
        <v>173</v>
      </c>
      <c r="B27" s="17">
        <v>133</v>
      </c>
      <c r="C27" t="s">
        <v>167</v>
      </c>
    </row>
    <row r="28" spans="1:7" x14ac:dyDescent="0.25">
      <c r="A28" t="s">
        <v>174</v>
      </c>
      <c r="B28" s="17">
        <v>0.15</v>
      </c>
      <c r="C28" t="s">
        <v>168</v>
      </c>
    </row>
    <row r="29" spans="1:7" x14ac:dyDescent="0.25">
      <c r="A29" t="s">
        <v>176</v>
      </c>
      <c r="B29" s="17" t="s">
        <v>175</v>
      </c>
    </row>
    <row r="31" spans="1:7" x14ac:dyDescent="0.25">
      <c r="A31" t="s">
        <v>141</v>
      </c>
      <c r="B31" s="17" t="s">
        <v>55</v>
      </c>
      <c r="C31">
        <f>B77</f>
        <v>348.00876456223369</v>
      </c>
    </row>
    <row r="32" spans="1:7" x14ac:dyDescent="0.25">
      <c r="A32" t="s">
        <v>197</v>
      </c>
      <c r="B32" s="17">
        <v>360</v>
      </c>
      <c r="C32" t="s">
        <v>191</v>
      </c>
    </row>
    <row r="33" spans="1:3" x14ac:dyDescent="0.25">
      <c r="A33" t="s">
        <v>198</v>
      </c>
      <c r="B33" s="17">
        <v>703</v>
      </c>
      <c r="C33" t="s">
        <v>192</v>
      </c>
    </row>
    <row r="34" spans="1:3" x14ac:dyDescent="0.25">
      <c r="A34" t="s">
        <v>199</v>
      </c>
      <c r="B34" s="17">
        <v>1193</v>
      </c>
      <c r="C34" t="s">
        <v>193</v>
      </c>
    </row>
    <row r="35" spans="1:3" x14ac:dyDescent="0.25">
      <c r="A35" t="s">
        <v>200</v>
      </c>
      <c r="B35" s="17">
        <v>100</v>
      </c>
      <c r="C35" t="s">
        <v>194</v>
      </c>
    </row>
    <row r="36" spans="1:3" x14ac:dyDescent="0.25">
      <c r="A36" t="s">
        <v>201</v>
      </c>
      <c r="B36" s="17">
        <v>133</v>
      </c>
      <c r="C36" t="s">
        <v>195</v>
      </c>
    </row>
    <row r="37" spans="1:3" x14ac:dyDescent="0.25">
      <c r="A37" t="s">
        <v>202</v>
      </c>
      <c r="B37" s="17">
        <v>0.15</v>
      </c>
      <c r="C37" t="s">
        <v>196</v>
      </c>
    </row>
    <row r="38" spans="1:3" x14ac:dyDescent="0.25">
      <c r="A38" t="s">
        <v>204</v>
      </c>
      <c r="B38" s="17" t="s">
        <v>203</v>
      </c>
    </row>
    <row r="40" spans="1:3" x14ac:dyDescent="0.25">
      <c r="A40" t="s">
        <v>142</v>
      </c>
      <c r="B40" s="17" t="s">
        <v>55</v>
      </c>
      <c r="C40">
        <f>B78</f>
        <v>153.60000000000028</v>
      </c>
    </row>
    <row r="41" spans="1:3" x14ac:dyDescent="0.25">
      <c r="A41" t="s">
        <v>213</v>
      </c>
      <c r="B41" s="17">
        <v>360</v>
      </c>
      <c r="C41" t="s">
        <v>205</v>
      </c>
    </row>
    <row r="42" spans="1:3" x14ac:dyDescent="0.25">
      <c r="A42" t="s">
        <v>214</v>
      </c>
      <c r="B42" s="17">
        <v>703</v>
      </c>
      <c r="C42" t="s">
        <v>206</v>
      </c>
    </row>
    <row r="43" spans="1:3" x14ac:dyDescent="0.25">
      <c r="A43" t="s">
        <v>215</v>
      </c>
      <c r="B43" s="17">
        <v>1193</v>
      </c>
      <c r="C43" t="s">
        <v>207</v>
      </c>
    </row>
    <row r="44" spans="1:3" x14ac:dyDescent="0.25">
      <c r="A44" t="s">
        <v>216</v>
      </c>
      <c r="B44" s="17">
        <v>100</v>
      </c>
      <c r="C44" t="s">
        <v>208</v>
      </c>
    </row>
    <row r="45" spans="1:3" x14ac:dyDescent="0.25">
      <c r="A45" t="s">
        <v>217</v>
      </c>
      <c r="B45" s="17">
        <v>133</v>
      </c>
      <c r="C45" t="s">
        <v>209</v>
      </c>
    </row>
    <row r="46" spans="1:3" x14ac:dyDescent="0.25">
      <c r="A46" t="s">
        <v>218</v>
      </c>
      <c r="B46" s="17">
        <v>0.15</v>
      </c>
      <c r="C46" t="s">
        <v>210</v>
      </c>
    </row>
    <row r="47" spans="1:3" x14ac:dyDescent="0.25">
      <c r="A47" t="s">
        <v>211</v>
      </c>
      <c r="B47" s="17" t="s">
        <v>212</v>
      </c>
    </row>
    <row r="49" spans="1:3" x14ac:dyDescent="0.25">
      <c r="A49" t="s">
        <v>143</v>
      </c>
      <c r="B49" s="17" t="s">
        <v>55</v>
      </c>
      <c r="C49">
        <f>B79+B80</f>
        <v>16.39141456558567</v>
      </c>
    </row>
    <row r="50" spans="1:3" x14ac:dyDescent="0.25">
      <c r="A50" t="s">
        <v>229</v>
      </c>
      <c r="B50" s="17">
        <v>1000</v>
      </c>
      <c r="C50" t="s">
        <v>219</v>
      </c>
    </row>
    <row r="51" spans="1:3" x14ac:dyDescent="0.25">
      <c r="A51" t="s">
        <v>228</v>
      </c>
      <c r="B51" s="17">
        <v>542.5</v>
      </c>
      <c r="C51" t="s">
        <v>220</v>
      </c>
    </row>
    <row r="52" spans="1:3" x14ac:dyDescent="0.25">
      <c r="A52" t="s">
        <v>221</v>
      </c>
      <c r="B52" s="17">
        <v>200</v>
      </c>
      <c r="C52" t="s">
        <v>222</v>
      </c>
    </row>
    <row r="53" spans="1:3" x14ac:dyDescent="0.25">
      <c r="A53" t="s">
        <v>223</v>
      </c>
      <c r="B53" s="17">
        <v>50</v>
      </c>
      <c r="C53" t="s">
        <v>222</v>
      </c>
    </row>
    <row r="54" spans="1:3" x14ac:dyDescent="0.25">
      <c r="A54" t="s">
        <v>224</v>
      </c>
      <c r="B54" s="17">
        <v>0.15</v>
      </c>
      <c r="C54" t="s">
        <v>225</v>
      </c>
    </row>
    <row r="55" spans="1:3" x14ac:dyDescent="0.25">
      <c r="A55" t="s">
        <v>226</v>
      </c>
      <c r="B55" s="17" t="s">
        <v>227</v>
      </c>
    </row>
    <row r="57" spans="1:3" x14ac:dyDescent="0.25">
      <c r="A57" t="s">
        <v>144</v>
      </c>
      <c r="B57" s="17" t="s">
        <v>55</v>
      </c>
      <c r="C57">
        <f>B81</f>
        <v>805.20658118299707</v>
      </c>
    </row>
    <row r="58" spans="1:3" x14ac:dyDescent="0.25">
      <c r="A58" t="s">
        <v>245</v>
      </c>
      <c r="B58" s="17">
        <v>360</v>
      </c>
      <c r="C58" t="s">
        <v>205</v>
      </c>
    </row>
    <row r="59" spans="1:3" x14ac:dyDescent="0.25">
      <c r="A59" t="s">
        <v>244</v>
      </c>
      <c r="B59" s="17">
        <v>703</v>
      </c>
      <c r="C59" t="s">
        <v>206</v>
      </c>
    </row>
    <row r="60" spans="1:3" x14ac:dyDescent="0.25">
      <c r="A60" t="s">
        <v>243</v>
      </c>
      <c r="B60" s="17">
        <v>1193</v>
      </c>
      <c r="C60" t="s">
        <v>207</v>
      </c>
    </row>
    <row r="61" spans="1:3" x14ac:dyDescent="0.25">
      <c r="A61" t="s">
        <v>242</v>
      </c>
      <c r="B61" s="17">
        <v>100</v>
      </c>
      <c r="C61" t="s">
        <v>208</v>
      </c>
    </row>
    <row r="62" spans="1:3" x14ac:dyDescent="0.25">
      <c r="A62" t="s">
        <v>241</v>
      </c>
      <c r="B62" s="17">
        <v>133</v>
      </c>
      <c r="C62" t="s">
        <v>209</v>
      </c>
    </row>
    <row r="63" spans="1:3" x14ac:dyDescent="0.25">
      <c r="A63" t="s">
        <v>240</v>
      </c>
      <c r="B63" s="17">
        <v>0.15</v>
      </c>
      <c r="C63" t="s">
        <v>210</v>
      </c>
    </row>
    <row r="64" spans="1:3" x14ac:dyDescent="0.25">
      <c r="A64" t="s">
        <v>231</v>
      </c>
      <c r="B64" s="17" t="s">
        <v>230</v>
      </c>
    </row>
    <row r="66" spans="1:3" x14ac:dyDescent="0.25">
      <c r="A66" t="s">
        <v>145</v>
      </c>
      <c r="B66" s="17" t="s">
        <v>55</v>
      </c>
      <c r="C66">
        <f>B82</f>
        <v>339.96600000000063</v>
      </c>
    </row>
    <row r="67" spans="1:3" x14ac:dyDescent="0.25">
      <c r="A67" t="s">
        <v>239</v>
      </c>
      <c r="B67" s="17">
        <v>360</v>
      </c>
      <c r="C67" t="s">
        <v>205</v>
      </c>
    </row>
    <row r="68" spans="1:3" x14ac:dyDescent="0.25">
      <c r="A68" t="s">
        <v>238</v>
      </c>
      <c r="B68" s="17">
        <v>703</v>
      </c>
      <c r="C68" t="s">
        <v>206</v>
      </c>
    </row>
    <row r="69" spans="1:3" x14ac:dyDescent="0.25">
      <c r="A69" t="s">
        <v>237</v>
      </c>
      <c r="B69" s="17">
        <v>1193</v>
      </c>
      <c r="C69" t="s">
        <v>207</v>
      </c>
    </row>
    <row r="70" spans="1:3" x14ac:dyDescent="0.25">
      <c r="A70" t="s">
        <v>236</v>
      </c>
      <c r="B70" s="17">
        <v>100</v>
      </c>
      <c r="C70" t="s">
        <v>208</v>
      </c>
    </row>
    <row r="71" spans="1:3" x14ac:dyDescent="0.25">
      <c r="A71" t="s">
        <v>235</v>
      </c>
      <c r="B71" s="17">
        <v>133</v>
      </c>
      <c r="C71" t="s">
        <v>209</v>
      </c>
    </row>
    <row r="72" spans="1:3" x14ac:dyDescent="0.25">
      <c r="A72" t="s">
        <v>234</v>
      </c>
      <c r="B72" s="17">
        <v>0.15</v>
      </c>
      <c r="C72" t="s">
        <v>210</v>
      </c>
    </row>
    <row r="73" spans="1:3" x14ac:dyDescent="0.25">
      <c r="A73" t="s">
        <v>232</v>
      </c>
      <c r="B73" s="17" t="s">
        <v>233</v>
      </c>
    </row>
    <row r="75" spans="1:3" ht="18.75" x14ac:dyDescent="0.3">
      <c r="A75" s="3" t="s">
        <v>0</v>
      </c>
      <c r="B75" s="17">
        <f>[1]Total_volume!$B$2</f>
        <v>2403.484589785528</v>
      </c>
    </row>
    <row r="76" spans="1:3" ht="18.75" x14ac:dyDescent="0.3">
      <c r="A76" s="3" t="s">
        <v>1</v>
      </c>
      <c r="B76">
        <f>[1]Total_volume!$C$2</f>
        <v>160.59559035990972</v>
      </c>
    </row>
    <row r="77" spans="1:3" ht="18.75" x14ac:dyDescent="0.3">
      <c r="A77" s="3" t="s">
        <v>2</v>
      </c>
      <c r="B77">
        <f>[1]Total_volume!$D$2</f>
        <v>348.00876456223369</v>
      </c>
    </row>
    <row r="78" spans="1:3" ht="18.75" x14ac:dyDescent="0.3">
      <c r="A78" s="3" t="s">
        <v>3</v>
      </c>
      <c r="B78">
        <f>[1]Total_volume!$E$2</f>
        <v>153.60000000000028</v>
      </c>
    </row>
    <row r="79" spans="1:3" ht="18.75" x14ac:dyDescent="0.3">
      <c r="A79" s="3" t="s">
        <v>4</v>
      </c>
      <c r="B79">
        <f>[1]Total_volume!$F$2</f>
        <v>6.8787145478512217</v>
      </c>
    </row>
    <row r="80" spans="1:3" ht="18.75" x14ac:dyDescent="0.3">
      <c r="A80" s="3" t="s">
        <v>5</v>
      </c>
      <c r="B80">
        <f>[1]Total_volume!$G$2</f>
        <v>9.5127000177344474</v>
      </c>
    </row>
    <row r="81" spans="1:2" ht="18.75" x14ac:dyDescent="0.3">
      <c r="A81" s="3" t="s">
        <v>6</v>
      </c>
      <c r="B81">
        <f>[1]Total_volume!$H$2</f>
        <v>805.20658118299707</v>
      </c>
    </row>
    <row r="82" spans="1:2" ht="18.75" x14ac:dyDescent="0.3">
      <c r="A82" s="3" t="s">
        <v>7</v>
      </c>
      <c r="B82">
        <f>[1]Total_volume!$I$2</f>
        <v>339.96600000000063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874D0-1CB0-47CB-9536-C3D767BC549E}">
  <sheetPr codeName="Sheet1"/>
  <dimension ref="C1:Z332"/>
  <sheetViews>
    <sheetView zoomScale="77" workbookViewId="0">
      <selection activeCell="N2" sqref="N2"/>
    </sheetView>
  </sheetViews>
  <sheetFormatPr defaultRowHeight="15" x14ac:dyDescent="0.25"/>
  <cols>
    <col min="3" max="3" width="13.85546875" customWidth="1"/>
    <col min="4" max="5" width="12.42578125" customWidth="1"/>
    <col min="6" max="6" width="11.140625" customWidth="1"/>
    <col min="7" max="7" width="12" customWidth="1"/>
    <col min="8" max="8" width="12.42578125" customWidth="1"/>
    <col min="9" max="9" width="11.85546875" customWidth="1"/>
    <col min="10" max="10" width="12" customWidth="1"/>
    <col min="25" max="25" width="11" bestFit="1" customWidth="1"/>
  </cols>
  <sheetData>
    <row r="1" spans="3:26" ht="18.75" x14ac:dyDescent="0.3"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N1" s="3" t="s">
        <v>0</v>
      </c>
      <c r="O1" s="3" t="s">
        <v>1</v>
      </c>
      <c r="P1" s="3" t="s">
        <v>2</v>
      </c>
      <c r="Q1" s="3" t="s">
        <v>3</v>
      </c>
      <c r="R1" s="3" t="s">
        <v>4</v>
      </c>
      <c r="S1" s="3" t="s">
        <v>5</v>
      </c>
      <c r="T1" s="3" t="s">
        <v>6</v>
      </c>
      <c r="U1" s="3" t="s">
        <v>7</v>
      </c>
      <c r="X1" s="3" t="s">
        <v>125</v>
      </c>
      <c r="Y1" s="3" t="s">
        <v>127</v>
      </c>
      <c r="Z1" s="3" t="s">
        <v>126</v>
      </c>
    </row>
    <row r="2" spans="3:26" x14ac:dyDescent="0.25">
      <c r="M2" t="s">
        <v>55</v>
      </c>
      <c r="N2">
        <v>2403.484589785528</v>
      </c>
      <c r="O2">
        <v>160.59559035990972</v>
      </c>
      <c r="P2">
        <v>348.00876456223369</v>
      </c>
      <c r="Q2" s="10">
        <v>153.60000000000028</v>
      </c>
      <c r="R2">
        <v>6.8787145478512217</v>
      </c>
      <c r="S2">
        <v>9.5127000177344474</v>
      </c>
      <c r="T2">
        <v>805.20658118299707</v>
      </c>
      <c r="U2">
        <v>339.96600000000063</v>
      </c>
      <c r="X2">
        <v>488397</v>
      </c>
      <c r="Y2">
        <v>1617</v>
      </c>
      <c r="Z2">
        <v>6865650</v>
      </c>
    </row>
    <row r="3" spans="3:26" x14ac:dyDescent="0.25">
      <c r="C3">
        <v>0.45772415471967098</v>
      </c>
      <c r="D3">
        <v>3.9699170851837056</v>
      </c>
      <c r="F3">
        <v>1.9439999999999988</v>
      </c>
      <c r="G3">
        <v>6.6469820831992779E-2</v>
      </c>
      <c r="H3">
        <v>1.7635834008365971</v>
      </c>
      <c r="I3">
        <v>215.0805232130277</v>
      </c>
      <c r="J3">
        <v>689.13000000000068</v>
      </c>
    </row>
    <row r="4" spans="3:26" x14ac:dyDescent="0.25">
      <c r="C4">
        <v>9.869895000000442</v>
      </c>
      <c r="D4">
        <v>4.3165212771635213</v>
      </c>
      <c r="E4" t="s">
        <v>251</v>
      </c>
      <c r="F4">
        <v>1.944</v>
      </c>
      <c r="G4">
        <v>6.6469820831992779E-2</v>
      </c>
      <c r="H4">
        <v>2.9634886767752904E-4</v>
      </c>
      <c r="I4">
        <v>208.10454848231242</v>
      </c>
    </row>
    <row r="5" spans="3:26" x14ac:dyDescent="0.25">
      <c r="C5">
        <v>1.4575500000001638</v>
      </c>
      <c r="D5">
        <v>4.1737208903948968</v>
      </c>
      <c r="E5">
        <v>9.3492627649474436</v>
      </c>
      <c r="F5">
        <v>1.944</v>
      </c>
      <c r="G5">
        <v>6.6469820831992779E-2</v>
      </c>
      <c r="H5">
        <v>2.9634886767752904E-4</v>
      </c>
      <c r="I5">
        <v>194.16365626666817</v>
      </c>
    </row>
    <row r="6" spans="3:26" x14ac:dyDescent="0.25">
      <c r="C6">
        <v>1.0728252844644386</v>
      </c>
      <c r="D6">
        <v>3.503855045417597</v>
      </c>
      <c r="E6">
        <v>4.9155742434078551</v>
      </c>
      <c r="F6">
        <v>1.9440000000000017</v>
      </c>
      <c r="G6">
        <v>6.6469820831992779E-2</v>
      </c>
      <c r="H6">
        <v>6.8538410000007516E-2</v>
      </c>
      <c r="I6">
        <v>182.28127643612368</v>
      </c>
    </row>
    <row r="7" spans="3:26" x14ac:dyDescent="0.25">
      <c r="C7" t="s">
        <v>251</v>
      </c>
      <c r="D7">
        <v>4.5932510027524156</v>
      </c>
      <c r="E7">
        <v>9.2952627649474397</v>
      </c>
      <c r="F7">
        <v>1.9440000000000004</v>
      </c>
      <c r="G7">
        <v>6.6469820831992779E-2</v>
      </c>
      <c r="H7">
        <v>6.8538410000007516E-2</v>
      </c>
      <c r="I7">
        <v>206.09467790627866</v>
      </c>
    </row>
    <row r="8" spans="3:26" x14ac:dyDescent="0.25">
      <c r="C8" t="s">
        <v>251</v>
      </c>
      <c r="D8">
        <v>3.0912124556752851</v>
      </c>
      <c r="E8">
        <v>4.8615742434078246</v>
      </c>
      <c r="F8">
        <v>1.9440000000000004</v>
      </c>
      <c r="G8">
        <v>6.6469820831992779E-2</v>
      </c>
      <c r="H8">
        <v>6.8538410000007516E-2</v>
      </c>
      <c r="I8">
        <v>5.5576207936736646</v>
      </c>
    </row>
    <row r="9" spans="3:26" x14ac:dyDescent="0.25">
      <c r="C9" t="s">
        <v>251</v>
      </c>
      <c r="D9">
        <v>2.4675819059929438</v>
      </c>
      <c r="E9">
        <v>4.8615742434078246</v>
      </c>
      <c r="F9">
        <v>1.9440000000000013</v>
      </c>
      <c r="G9">
        <v>6.6469820831992779E-2</v>
      </c>
      <c r="H9">
        <v>6.8538410000007516E-2</v>
      </c>
    </row>
    <row r="10" spans="3:26" x14ac:dyDescent="0.25">
      <c r="C10" t="s">
        <v>251</v>
      </c>
      <c r="D10">
        <v>3.0912124556767777</v>
      </c>
      <c r="E10">
        <v>4.861574243407806</v>
      </c>
      <c r="F10">
        <v>1.9439999999999993</v>
      </c>
      <c r="G10">
        <v>6.6469820831992779E-2</v>
      </c>
      <c r="H10">
        <v>6.8538410000007516E-2</v>
      </c>
    </row>
    <row r="11" spans="3:26" x14ac:dyDescent="0.25">
      <c r="C11">
        <v>14.688413232001075</v>
      </c>
      <c r="D11">
        <v>3.5780365929292368</v>
      </c>
      <c r="E11">
        <v>8.2782627649474172</v>
      </c>
      <c r="F11">
        <v>1.9439999999999988</v>
      </c>
      <c r="G11">
        <v>6.6469820831992779E-2</v>
      </c>
      <c r="H11">
        <v>6.8538410000007516E-2</v>
      </c>
    </row>
    <row r="12" spans="3:26" x14ac:dyDescent="0.25">
      <c r="C12">
        <v>3.6215166759062916</v>
      </c>
      <c r="D12">
        <v>3.5783893708493006</v>
      </c>
      <c r="E12">
        <v>0.9968751885891376</v>
      </c>
      <c r="F12">
        <v>1.9440000000000008</v>
      </c>
      <c r="G12">
        <v>6.6469820831992779E-2</v>
      </c>
      <c r="H12">
        <v>6.8538410000007516E-2</v>
      </c>
    </row>
    <row r="13" spans="3:26" x14ac:dyDescent="0.25">
      <c r="C13" t="s">
        <v>251</v>
      </c>
      <c r="D13">
        <v>3.6997088309627202</v>
      </c>
      <c r="E13">
        <v>0.99687518858913193</v>
      </c>
      <c r="F13">
        <v>1.9440000000000017</v>
      </c>
      <c r="G13">
        <v>6.6469820831992779E-2</v>
      </c>
      <c r="H13">
        <v>6.8538410000007516E-2</v>
      </c>
    </row>
    <row r="14" spans="3:26" x14ac:dyDescent="0.25">
      <c r="C14">
        <v>0.45772415471966926</v>
      </c>
      <c r="D14">
        <v>3.8121008356649129</v>
      </c>
      <c r="E14">
        <v>0.99687518858913171</v>
      </c>
      <c r="F14">
        <v>1.944</v>
      </c>
      <c r="G14">
        <v>6.6469820831992779E-2</v>
      </c>
      <c r="H14">
        <v>6.8538410000007516E-2</v>
      </c>
    </row>
    <row r="15" spans="3:26" ht="18.75" x14ac:dyDescent="0.3">
      <c r="C15">
        <v>1.4710500000001538</v>
      </c>
      <c r="D15">
        <v>4.1644086889904885</v>
      </c>
      <c r="E15">
        <v>0.99687518858913615</v>
      </c>
      <c r="F15">
        <v>1.9439999999999997</v>
      </c>
      <c r="G15">
        <v>6.6469820831992779E-2</v>
      </c>
      <c r="H15">
        <v>6.8538410000007516E-2</v>
      </c>
      <c r="P15" s="3"/>
    </row>
    <row r="16" spans="3:26" ht="18.75" x14ac:dyDescent="0.3">
      <c r="C16">
        <v>0.93554784951975001</v>
      </c>
      <c r="D16">
        <v>3.271349017064324</v>
      </c>
      <c r="E16">
        <v>0.99687518858914315</v>
      </c>
      <c r="F16">
        <v>1.9439999999999997</v>
      </c>
      <c r="G16">
        <v>6.6469820831992779E-2</v>
      </c>
      <c r="H16">
        <v>6.8538410000007516E-2</v>
      </c>
      <c r="P16" s="3"/>
    </row>
    <row r="17" spans="3:16" ht="18.75" x14ac:dyDescent="0.3">
      <c r="C17" t="s">
        <v>251</v>
      </c>
      <c r="D17">
        <v>4.0052702514391774</v>
      </c>
      <c r="E17">
        <v>0.99687518858914315</v>
      </c>
      <c r="F17">
        <v>1.9440000000000004</v>
      </c>
      <c r="G17">
        <v>6.6469820831992779E-2</v>
      </c>
      <c r="H17">
        <v>6.8538410000007516E-2</v>
      </c>
      <c r="P17" s="3"/>
    </row>
    <row r="18" spans="3:16" ht="18.75" x14ac:dyDescent="0.3">
      <c r="C18" t="s">
        <v>251</v>
      </c>
      <c r="D18">
        <v>3.0912124556751541</v>
      </c>
      <c r="E18">
        <v>0.99687518858914359</v>
      </c>
      <c r="F18">
        <v>1.9440000000000004</v>
      </c>
      <c r="G18">
        <v>6.6469820831992779E-2</v>
      </c>
      <c r="H18">
        <v>6.8538410000007516E-2</v>
      </c>
      <c r="P18" s="3"/>
    </row>
    <row r="19" spans="3:16" ht="18.75" x14ac:dyDescent="0.3">
      <c r="C19" t="s">
        <v>251</v>
      </c>
      <c r="D19">
        <v>3.608629170693773</v>
      </c>
      <c r="E19">
        <v>8.2782627649474154</v>
      </c>
      <c r="F19">
        <v>1.944</v>
      </c>
      <c r="G19">
        <v>6.6469820831992779E-2</v>
      </c>
      <c r="H19">
        <v>6.8538410000007516E-2</v>
      </c>
      <c r="P19" s="3"/>
    </row>
    <row r="20" spans="3:16" ht="18.75" x14ac:dyDescent="0.3">
      <c r="C20">
        <v>13.178250000000562</v>
      </c>
      <c r="D20">
        <v>3.3036999563579976</v>
      </c>
      <c r="E20" t="s">
        <v>251</v>
      </c>
      <c r="F20">
        <v>1.9440000000000017</v>
      </c>
      <c r="G20">
        <v>6.6469820831992779E-2</v>
      </c>
      <c r="H20">
        <v>6.8538410000007516E-2</v>
      </c>
      <c r="P20" s="3"/>
    </row>
    <row r="21" spans="3:16" ht="18.75" x14ac:dyDescent="0.3">
      <c r="C21">
        <v>32.881744533761832</v>
      </c>
      <c r="D21">
        <v>2.7812606097670076</v>
      </c>
      <c r="E21">
        <v>1.1055690548187014</v>
      </c>
      <c r="F21">
        <v>1.9440000000000017</v>
      </c>
      <c r="G21">
        <v>6.6469820831992779E-2</v>
      </c>
      <c r="H21">
        <v>6.8538410000007516E-2</v>
      </c>
      <c r="P21" s="3"/>
    </row>
    <row r="22" spans="3:16" ht="18.75" x14ac:dyDescent="0.3">
      <c r="C22">
        <v>9.935936865801315</v>
      </c>
      <c r="D22">
        <v>3.2739277233329824</v>
      </c>
      <c r="E22">
        <v>1.1055690548187076</v>
      </c>
      <c r="F22">
        <v>1.944</v>
      </c>
      <c r="G22">
        <v>6.6469820831992779E-2</v>
      </c>
      <c r="H22">
        <v>6.8538410000007516E-2</v>
      </c>
      <c r="P22" s="3"/>
    </row>
    <row r="23" spans="3:16" x14ac:dyDescent="0.25">
      <c r="C23">
        <v>9.9021868658013457</v>
      </c>
      <c r="D23">
        <v>2.2923879225561854</v>
      </c>
      <c r="E23">
        <v>1.1055690548187038</v>
      </c>
      <c r="F23">
        <v>1.9439999999999993</v>
      </c>
      <c r="G23">
        <v>6.6469820831992779E-2</v>
      </c>
      <c r="H23">
        <v>6.8538410000007516E-2</v>
      </c>
    </row>
    <row r="24" spans="3:16" x14ac:dyDescent="0.25">
      <c r="C24">
        <v>9.5444368658012877</v>
      </c>
      <c r="D24">
        <v>3.7334902158178052</v>
      </c>
      <c r="E24">
        <v>1.1055690548187078</v>
      </c>
      <c r="F24">
        <v>1.9440000000000017</v>
      </c>
      <c r="G24">
        <v>6.6469820831992779E-2</v>
      </c>
      <c r="H24">
        <v>6.8538410000007516E-2</v>
      </c>
    </row>
    <row r="25" spans="3:16" x14ac:dyDescent="0.25">
      <c r="C25">
        <v>9.9359368658013487</v>
      </c>
      <c r="D25">
        <v>3.3365572995047854</v>
      </c>
      <c r="E25">
        <v>1.1055690548187145</v>
      </c>
      <c r="F25">
        <v>1.9440000000000017</v>
      </c>
      <c r="G25">
        <v>6.6469820831992779E-2</v>
      </c>
      <c r="H25">
        <v>6.8538410000007516E-2</v>
      </c>
    </row>
    <row r="26" spans="3:16" x14ac:dyDescent="0.25">
      <c r="C26">
        <v>7.6188451172715981</v>
      </c>
      <c r="D26">
        <v>4.0586349999998745</v>
      </c>
      <c r="E26">
        <v>1.1055690548187145</v>
      </c>
      <c r="F26">
        <v>1.944</v>
      </c>
      <c r="G26">
        <v>6.6469820831992779E-2</v>
      </c>
      <c r="H26">
        <v>6.8538410000007516E-2</v>
      </c>
    </row>
    <row r="27" spans="3:16" x14ac:dyDescent="0.25">
      <c r="C27">
        <v>7.7962500000003496</v>
      </c>
      <c r="D27">
        <v>4.5270128546794064</v>
      </c>
      <c r="E27">
        <v>7.3698290523281935</v>
      </c>
      <c r="F27">
        <v>1.943999999999998</v>
      </c>
      <c r="G27">
        <v>6.6469820831992779E-2</v>
      </c>
      <c r="H27">
        <v>6.8538410000007516E-2</v>
      </c>
    </row>
    <row r="28" spans="3:16" x14ac:dyDescent="0.25">
      <c r="C28">
        <v>17.017144416490169</v>
      </c>
      <c r="D28">
        <v>3.0831452794886212</v>
      </c>
      <c r="E28">
        <v>7.3698290523281962</v>
      </c>
      <c r="F28">
        <v>1.943999999999998</v>
      </c>
      <c r="G28">
        <v>6.6469820831992779E-2</v>
      </c>
      <c r="H28">
        <v>6.8538410000007516E-2</v>
      </c>
    </row>
    <row r="29" spans="3:16" x14ac:dyDescent="0.25">
      <c r="C29">
        <v>6.6960000000003292</v>
      </c>
      <c r="D29">
        <v>3.6483893320553156</v>
      </c>
      <c r="E29">
        <v>1.3066200000000141</v>
      </c>
      <c r="F29">
        <v>1.9439999999999997</v>
      </c>
      <c r="G29">
        <v>6.6469820831992779E-2</v>
      </c>
      <c r="H29">
        <v>6.8538410000007516E-2</v>
      </c>
    </row>
    <row r="30" spans="3:16" x14ac:dyDescent="0.25">
      <c r="C30">
        <v>6.9776444164896843</v>
      </c>
      <c r="D30">
        <v>4.2812397630209889</v>
      </c>
      <c r="E30">
        <v>1.3066200000000072</v>
      </c>
      <c r="F30">
        <v>0.24299999999999705</v>
      </c>
      <c r="G30">
        <v>6.6469820831992779E-2</v>
      </c>
      <c r="H30">
        <v>6.8538410000007516E-2</v>
      </c>
    </row>
    <row r="31" spans="3:16" x14ac:dyDescent="0.25">
      <c r="C31">
        <v>5.4521444164896549</v>
      </c>
      <c r="D31">
        <v>4.3412437195202633</v>
      </c>
      <c r="E31">
        <v>1.3066200000000066</v>
      </c>
      <c r="F31">
        <v>0.24300000000000493</v>
      </c>
      <c r="G31">
        <v>6.6469820831992779E-2</v>
      </c>
      <c r="H31">
        <v>6.8538410000007516E-2</v>
      </c>
    </row>
    <row r="32" spans="3:16" x14ac:dyDescent="0.25">
      <c r="C32">
        <v>28.611000000001326</v>
      </c>
      <c r="D32">
        <v>4.434206190014315</v>
      </c>
      <c r="E32">
        <v>1.3066200000000132</v>
      </c>
      <c r="F32">
        <v>1.9439999999999997</v>
      </c>
      <c r="G32">
        <v>6.6469820831992779E-2</v>
      </c>
      <c r="H32">
        <v>6.8538410000007516E-2</v>
      </c>
    </row>
    <row r="33" spans="3:8" x14ac:dyDescent="0.25">
      <c r="C33">
        <v>7.4385000000003201</v>
      </c>
      <c r="D33">
        <v>4.0052702514396179</v>
      </c>
      <c r="E33">
        <v>1.3066200000000228</v>
      </c>
      <c r="F33">
        <v>1.9439999999999973</v>
      </c>
      <c r="G33">
        <v>6.6469820831992779E-2</v>
      </c>
      <c r="H33">
        <v>6.8538410000007516E-2</v>
      </c>
    </row>
    <row r="34" spans="3:8" x14ac:dyDescent="0.25">
      <c r="C34">
        <v>7.438500000000297</v>
      </c>
      <c r="D34">
        <v>3.1969028010421674</v>
      </c>
      <c r="E34">
        <v>1.3066200000000228</v>
      </c>
      <c r="F34">
        <v>1.9439999999999973</v>
      </c>
      <c r="G34">
        <v>6.6469820831992779E-2</v>
      </c>
      <c r="H34">
        <v>6.8538410000007516E-2</v>
      </c>
    </row>
    <row r="35" spans="3:8" x14ac:dyDescent="0.25">
      <c r="C35">
        <v>7.4385000000002943</v>
      </c>
      <c r="D35">
        <v>3.7500527431668131</v>
      </c>
      <c r="E35">
        <v>1.3066200000000228</v>
      </c>
      <c r="F35">
        <v>1.9439999999999973</v>
      </c>
      <c r="G35">
        <v>6.6469820831992779E-2</v>
      </c>
      <c r="H35">
        <v>6.8538410000007516E-2</v>
      </c>
    </row>
    <row r="36" spans="3:8" x14ac:dyDescent="0.25">
      <c r="C36">
        <v>7.4385000000003201</v>
      </c>
      <c r="D36">
        <v>3.3036999563575677</v>
      </c>
      <c r="E36">
        <v>0.90843371261922323</v>
      </c>
      <c r="F36">
        <v>1.9439999999999993</v>
      </c>
      <c r="G36">
        <v>6.6469820831992779E-2</v>
      </c>
      <c r="H36">
        <v>6.8538410000007516E-2</v>
      </c>
    </row>
    <row r="37" spans="3:8" x14ac:dyDescent="0.25">
      <c r="C37">
        <v>6.5523944164896486</v>
      </c>
      <c r="D37">
        <v>5.3225172741930562</v>
      </c>
      <c r="E37">
        <v>0.90843371261922323</v>
      </c>
      <c r="F37">
        <v>1.9439999999999988</v>
      </c>
      <c r="G37">
        <v>6.6469820831992779E-2</v>
      </c>
      <c r="H37">
        <v>6.8538410000007516E-2</v>
      </c>
    </row>
    <row r="38" spans="3:8" x14ac:dyDescent="0.25">
      <c r="C38">
        <v>6.5523944164896735</v>
      </c>
      <c r="D38">
        <v>5.4848646229321645</v>
      </c>
      <c r="E38">
        <v>9.3780000000000339</v>
      </c>
      <c r="F38">
        <v>1.9439999999999973</v>
      </c>
      <c r="G38">
        <v>6.6469820831992779E-2</v>
      </c>
      <c r="H38">
        <v>6.8538410000007516E-2</v>
      </c>
    </row>
    <row r="39" spans="3:8" x14ac:dyDescent="0.25">
      <c r="C39">
        <v>8.0153756474358087</v>
      </c>
      <c r="D39">
        <v>4.5871150061609081</v>
      </c>
      <c r="E39">
        <v>4.8128137126191701</v>
      </c>
      <c r="F39">
        <v>1.9439999999999988</v>
      </c>
      <c r="G39">
        <v>6.6469820831992779E-2</v>
      </c>
      <c r="H39">
        <v>6.8538410000007516E-2</v>
      </c>
    </row>
    <row r="40" spans="3:8" x14ac:dyDescent="0.25">
      <c r="C40">
        <v>7.5901256474359888</v>
      </c>
      <c r="D40">
        <v>3.0912124556757412</v>
      </c>
      <c r="E40">
        <v>4.8996990548187291</v>
      </c>
      <c r="F40">
        <v>1.9439999999999988</v>
      </c>
      <c r="G40">
        <v>6.6469820831992779E-2</v>
      </c>
      <c r="H40">
        <v>6.8538410000007516E-2</v>
      </c>
    </row>
    <row r="41" spans="3:8" x14ac:dyDescent="0.25">
      <c r="C41">
        <v>8.0153756474360307</v>
      </c>
      <c r="D41">
        <v>5.7591265443446842</v>
      </c>
      <c r="E41">
        <v>9.2970000000000201</v>
      </c>
      <c r="F41">
        <v>1.9439999999999973</v>
      </c>
      <c r="G41">
        <v>6.6469820831992779E-2</v>
      </c>
      <c r="H41">
        <v>6.8538410000007516E-2</v>
      </c>
    </row>
    <row r="42" spans="3:8" x14ac:dyDescent="0.25">
      <c r="C42">
        <v>8.0153756474359206</v>
      </c>
      <c r="D42">
        <v>4.377651956750765</v>
      </c>
      <c r="E42">
        <v>7.5048674252384675</v>
      </c>
      <c r="F42">
        <v>1.9439999999999988</v>
      </c>
      <c r="G42">
        <v>6.6469820831992779E-2</v>
      </c>
      <c r="H42">
        <v>6.8538410000007516E-2</v>
      </c>
    </row>
    <row r="43" spans="3:8" x14ac:dyDescent="0.25">
      <c r="C43">
        <v>17.151750000000856</v>
      </c>
      <c r="D43">
        <v>4.3604421505546336</v>
      </c>
      <c r="E43">
        <v>0.98290196868447166</v>
      </c>
      <c r="F43">
        <v>1.9439999999999988</v>
      </c>
      <c r="G43">
        <v>6.6469820831992779E-2</v>
      </c>
      <c r="H43">
        <v>6.8538410000007516E-2</v>
      </c>
    </row>
    <row r="44" spans="3:8" x14ac:dyDescent="0.25">
      <c r="C44">
        <v>0.24893137807444873</v>
      </c>
      <c r="D44">
        <v>4.8868365752037901</v>
      </c>
      <c r="E44">
        <v>0.98290196868447166</v>
      </c>
      <c r="F44">
        <v>1.9439999999999973</v>
      </c>
      <c r="G44">
        <v>6.6469820831992779E-2</v>
      </c>
      <c r="H44">
        <v>6.8538410000007516E-2</v>
      </c>
    </row>
    <row r="45" spans="3:8" x14ac:dyDescent="0.25">
      <c r="C45">
        <v>0.24386887807444421</v>
      </c>
      <c r="D45">
        <v>4.2784601312547768</v>
      </c>
      <c r="E45">
        <v>0.9829019686844731</v>
      </c>
      <c r="F45">
        <v>1.9439999999999997</v>
      </c>
      <c r="G45">
        <v>6.6469820831992779E-2</v>
      </c>
      <c r="H45">
        <v>6.8538410000007516E-2</v>
      </c>
    </row>
    <row r="46" spans="3:8" x14ac:dyDescent="0.25">
      <c r="C46" t="s">
        <v>251</v>
      </c>
      <c r="D46">
        <v>4.7413940206399054</v>
      </c>
      <c r="E46">
        <v>0.98290196868446988</v>
      </c>
      <c r="F46">
        <v>1.9439999999999997</v>
      </c>
      <c r="G46">
        <v>6.6469820831992779E-2</v>
      </c>
      <c r="H46">
        <v>6.8538410000007516E-2</v>
      </c>
    </row>
    <row r="47" spans="3:8" x14ac:dyDescent="0.25">
      <c r="C47">
        <v>8.0153756474358815</v>
      </c>
      <c r="D47">
        <v>3.7819569800477835</v>
      </c>
      <c r="E47">
        <v>0.98290196868447166</v>
      </c>
      <c r="F47">
        <v>1.9439999999999997</v>
      </c>
      <c r="G47">
        <v>6.6469820831992779E-2</v>
      </c>
      <c r="H47">
        <v>6.8538410000007516E-2</v>
      </c>
    </row>
    <row r="48" spans="3:8" x14ac:dyDescent="0.25">
      <c r="C48">
        <v>8.0153756474359188</v>
      </c>
      <c r="D48">
        <v>3.5885439139186035</v>
      </c>
      <c r="E48">
        <v>0.98290196868447388</v>
      </c>
      <c r="F48">
        <v>1.9439999999999997</v>
      </c>
      <c r="G48">
        <v>6.6469820831992779E-2</v>
      </c>
      <c r="H48">
        <v>6.8538410000007516E-2</v>
      </c>
    </row>
    <row r="49" spans="3:8" x14ac:dyDescent="0.25">
      <c r="C49">
        <v>8.0153756474360343</v>
      </c>
      <c r="D49">
        <v>3.7217631951234056</v>
      </c>
      <c r="E49">
        <v>0.98290196868448076</v>
      </c>
      <c r="F49">
        <v>1.9439999999999997</v>
      </c>
      <c r="G49">
        <v>6.6469820831992779E-2</v>
      </c>
      <c r="H49">
        <v>6.8538410000007516E-2</v>
      </c>
    </row>
    <row r="50" spans="3:8" x14ac:dyDescent="0.25">
      <c r="C50">
        <v>8.0153756474359756</v>
      </c>
      <c r="D50">
        <v>2.2730571822012609</v>
      </c>
      <c r="E50">
        <v>0.98290196868448099</v>
      </c>
      <c r="F50">
        <v>1.9439999999999997</v>
      </c>
      <c r="G50">
        <v>6.6469820831992779E-2</v>
      </c>
      <c r="H50">
        <v>6.8538410000007516E-2</v>
      </c>
    </row>
    <row r="51" spans="3:8" x14ac:dyDescent="0.25">
      <c r="C51">
        <v>0.45772415471967065</v>
      </c>
      <c r="D51">
        <v>2.3206150079555865</v>
      </c>
      <c r="E51">
        <v>0.98290196868448076</v>
      </c>
      <c r="F51">
        <v>1.9439999999999997</v>
      </c>
      <c r="G51">
        <v>6.6469820831992779E-2</v>
      </c>
      <c r="H51">
        <v>6.8538410000007516E-2</v>
      </c>
    </row>
    <row r="52" spans="3:8" x14ac:dyDescent="0.25">
      <c r="C52">
        <v>22.608000000000974</v>
      </c>
      <c r="D52">
        <v>3.3569104011714512</v>
      </c>
      <c r="E52">
        <v>0.75247803131552238</v>
      </c>
      <c r="F52">
        <v>1.9439999999999997</v>
      </c>
      <c r="G52">
        <v>6.6469820831992779E-2</v>
      </c>
      <c r="H52">
        <v>6.8538410000007516E-2</v>
      </c>
    </row>
    <row r="53" spans="3:8" x14ac:dyDescent="0.25">
      <c r="C53">
        <v>1.4575500000001582</v>
      </c>
      <c r="D53">
        <v>3.8557664449036877</v>
      </c>
      <c r="E53">
        <v>0.75247803131552693</v>
      </c>
      <c r="F53">
        <v>1.9439999999999997</v>
      </c>
      <c r="G53">
        <v>6.6469820831992779E-2</v>
      </c>
      <c r="H53">
        <v>6.8538410000007516E-2</v>
      </c>
    </row>
    <row r="54" spans="3:8" x14ac:dyDescent="0.25">
      <c r="C54">
        <v>1.0728252844644381</v>
      </c>
      <c r="D54">
        <v>4.9586030130988448</v>
      </c>
      <c r="E54">
        <v>7.3968674252384661</v>
      </c>
      <c r="F54">
        <v>1.9439999999999997</v>
      </c>
      <c r="G54">
        <v>6.6469820831992779E-2</v>
      </c>
      <c r="H54">
        <v>6.8538410000007516E-2</v>
      </c>
    </row>
    <row r="55" spans="3:8" x14ac:dyDescent="0.25">
      <c r="C55" t="s">
        <v>251</v>
      </c>
      <c r="D55">
        <v>3.5731304690852337</v>
      </c>
      <c r="E55">
        <v>1.3606200000000244</v>
      </c>
      <c r="F55">
        <v>1.9439999999999997</v>
      </c>
      <c r="G55">
        <v>6.6469820831992779E-2</v>
      </c>
      <c r="H55">
        <v>6.8538410000007516E-2</v>
      </c>
    </row>
    <row r="56" spans="3:8" x14ac:dyDescent="0.25">
      <c r="C56" t="s">
        <v>251</v>
      </c>
      <c r="D56">
        <v>3.5731304690860957</v>
      </c>
      <c r="E56">
        <v>7.4508674252384619</v>
      </c>
      <c r="F56">
        <v>1.9439999999999997</v>
      </c>
      <c r="G56">
        <v>6.6469820831992779E-2</v>
      </c>
      <c r="H56">
        <v>6.8538410000007516E-2</v>
      </c>
    </row>
    <row r="57" spans="3:8" x14ac:dyDescent="0.25">
      <c r="C57" t="s">
        <v>251</v>
      </c>
      <c r="D57">
        <v>3.5731304690854673</v>
      </c>
      <c r="E57">
        <v>1.3066200000000132</v>
      </c>
      <c r="F57">
        <v>1.9439999999999997</v>
      </c>
      <c r="G57">
        <v>6.6469820831992779E-2</v>
      </c>
      <c r="H57">
        <v>6.8538410000007516E-2</v>
      </c>
    </row>
    <row r="58" spans="3:8" x14ac:dyDescent="0.25">
      <c r="C58" t="s">
        <v>251</v>
      </c>
      <c r="D58">
        <v>4.3148393888810741</v>
      </c>
      <c r="E58">
        <v>1.3066200000000077</v>
      </c>
      <c r="F58">
        <v>1.9439999999999997</v>
      </c>
      <c r="G58">
        <v>6.6469820831992779E-2</v>
      </c>
      <c r="H58">
        <v>6.8538410000007516E-2</v>
      </c>
    </row>
    <row r="59" spans="3:8" x14ac:dyDescent="0.25">
      <c r="C59">
        <v>38.907649420759299</v>
      </c>
      <c r="D59">
        <v>3.2087302579537873</v>
      </c>
      <c r="E59">
        <v>1.3066200000000101</v>
      </c>
      <c r="F59">
        <v>1.9439999999999997</v>
      </c>
      <c r="G59">
        <v>6.6469820831992779E-2</v>
      </c>
      <c r="H59">
        <v>6.8538410000007516E-2</v>
      </c>
    </row>
    <row r="60" spans="3:8" x14ac:dyDescent="0.25">
      <c r="C60">
        <v>3.8053602844644372</v>
      </c>
      <c r="E60">
        <v>1.3066200000000077</v>
      </c>
      <c r="F60">
        <v>1.9439999999999997</v>
      </c>
      <c r="G60">
        <v>6.6469820831992779E-2</v>
      </c>
      <c r="H60">
        <v>6.8538410000007516E-2</v>
      </c>
    </row>
    <row r="61" spans="3:8" x14ac:dyDescent="0.25">
      <c r="C61" t="s">
        <v>251</v>
      </c>
      <c r="E61">
        <v>1.3066200000000106</v>
      </c>
      <c r="G61">
        <v>6.6469820831992779E-2</v>
      </c>
      <c r="H61">
        <v>6.8538410000007516E-2</v>
      </c>
    </row>
    <row r="62" spans="3:8" x14ac:dyDescent="0.25">
      <c r="C62">
        <v>0.45772415471966926</v>
      </c>
      <c r="E62">
        <v>1.3066200000000154</v>
      </c>
      <c r="G62">
        <v>6.6469820831992779E-2</v>
      </c>
      <c r="H62">
        <v>6.8538410000007516E-2</v>
      </c>
    </row>
    <row r="63" spans="3:8" x14ac:dyDescent="0.25">
      <c r="C63">
        <v>14.647500000000635</v>
      </c>
      <c r="E63">
        <v>1.3066200000000234</v>
      </c>
      <c r="G63">
        <v>6.6469820831992779E-2</v>
      </c>
      <c r="H63">
        <v>6.8538410000007516E-2</v>
      </c>
    </row>
    <row r="64" spans="3:8" x14ac:dyDescent="0.25">
      <c r="C64">
        <v>1.4710500000001547</v>
      </c>
      <c r="E64">
        <v>1.3066200000000237</v>
      </c>
      <c r="G64">
        <v>6.6469820831992779E-2</v>
      </c>
      <c r="H64">
        <v>6.8538410000007516E-2</v>
      </c>
    </row>
    <row r="65" spans="3:8" x14ac:dyDescent="0.25">
      <c r="C65">
        <v>0.93554784951975001</v>
      </c>
      <c r="E65">
        <v>7.5048674252384604</v>
      </c>
      <c r="G65">
        <v>6.6469820831992779E-2</v>
      </c>
      <c r="H65">
        <v>6.8538410000007516E-2</v>
      </c>
    </row>
    <row r="66" spans="3:8" x14ac:dyDescent="0.25">
      <c r="C66" t="s">
        <v>251</v>
      </c>
      <c r="E66">
        <v>1.1055690548187147</v>
      </c>
      <c r="G66">
        <v>6.6469820831992779E-2</v>
      </c>
      <c r="H66">
        <v>6.8538410000007516E-2</v>
      </c>
    </row>
    <row r="67" spans="3:8" x14ac:dyDescent="0.25">
      <c r="C67" t="s">
        <v>251</v>
      </c>
      <c r="E67">
        <v>1.1055690548187145</v>
      </c>
      <c r="G67">
        <v>6.6469820831992779E-2</v>
      </c>
      <c r="H67">
        <v>6.8538410000007516E-2</v>
      </c>
    </row>
    <row r="68" spans="3:8" x14ac:dyDescent="0.25">
      <c r="C68" t="s">
        <v>251</v>
      </c>
      <c r="E68">
        <v>1.1055690548187054</v>
      </c>
      <c r="G68">
        <v>6.6469820831992779E-2</v>
      </c>
      <c r="H68">
        <v>6.8538410000007516E-2</v>
      </c>
    </row>
    <row r="69" spans="3:8" x14ac:dyDescent="0.25">
      <c r="C69">
        <v>39.100499999999563</v>
      </c>
      <c r="E69">
        <v>1.1055690548187076</v>
      </c>
      <c r="G69">
        <v>6.6469820831992779E-2</v>
      </c>
      <c r="H69">
        <v>6.8538410000007516E-2</v>
      </c>
    </row>
    <row r="70" spans="3:8" x14ac:dyDescent="0.25">
      <c r="C70">
        <v>32.962399416490875</v>
      </c>
      <c r="E70">
        <v>1.1055690548187027</v>
      </c>
      <c r="G70">
        <v>6.6469820831992779E-2</v>
      </c>
      <c r="H70">
        <v>6.8538410000007516E-2</v>
      </c>
    </row>
    <row r="71" spans="3:8" x14ac:dyDescent="0.25">
      <c r="C71">
        <v>10.25599500000053</v>
      </c>
      <c r="E71">
        <v>1.1055690548187016</v>
      </c>
      <c r="G71">
        <v>6.6469820831992779E-2</v>
      </c>
      <c r="H71">
        <v>6.8538410000007516E-2</v>
      </c>
    </row>
    <row r="72" spans="3:8" x14ac:dyDescent="0.25">
      <c r="C72">
        <v>8.80193686580132</v>
      </c>
      <c r="E72">
        <v>1.1055690548187009</v>
      </c>
      <c r="G72">
        <v>6.6469820831992779E-2</v>
      </c>
      <c r="H72">
        <v>6.8538410000007516E-2</v>
      </c>
    </row>
    <row r="73" spans="3:8" x14ac:dyDescent="0.25">
      <c r="C73">
        <v>9.1191868658013071</v>
      </c>
      <c r="E73">
        <v>1.1055690548187025</v>
      </c>
      <c r="G73">
        <v>6.6469820831992779E-2</v>
      </c>
      <c r="H73">
        <v>6.8538410000007516E-2</v>
      </c>
    </row>
    <row r="74" spans="3:8" x14ac:dyDescent="0.25">
      <c r="C74">
        <v>9.5444368658012433</v>
      </c>
      <c r="E74">
        <v>9.3756581046563703</v>
      </c>
      <c r="G74">
        <v>6.6469820831992779E-2</v>
      </c>
      <c r="H74">
        <v>6.8538410000007516E-2</v>
      </c>
    </row>
    <row r="75" spans="3:8" x14ac:dyDescent="0.25">
      <c r="C75">
        <v>9.935936865801354</v>
      </c>
      <c r="E75">
        <v>1.0530000000000017</v>
      </c>
      <c r="G75">
        <v>6.6469820831992779E-2</v>
      </c>
      <c r="H75">
        <v>6.8538410000007516E-2</v>
      </c>
    </row>
    <row r="76" spans="3:8" x14ac:dyDescent="0.25">
      <c r="C76">
        <v>7.830000000000334</v>
      </c>
      <c r="E76">
        <v>9.3216581046563682</v>
      </c>
      <c r="G76">
        <v>6.6469820831992779E-2</v>
      </c>
      <c r="H76">
        <v>6.8538410000007516E-2</v>
      </c>
    </row>
    <row r="77" spans="3:8" x14ac:dyDescent="0.25">
      <c r="C77">
        <v>8.1225000000003682</v>
      </c>
      <c r="E77">
        <v>0.99899999999999034</v>
      </c>
      <c r="G77">
        <v>6.6469820831992779E-2</v>
      </c>
      <c r="H77">
        <v>6.8538410000007516E-2</v>
      </c>
    </row>
    <row r="78" spans="3:8" x14ac:dyDescent="0.25">
      <c r="C78">
        <v>46.341788832980939</v>
      </c>
      <c r="E78">
        <v>0.99899999999999012</v>
      </c>
      <c r="G78">
        <v>6.6469820831992779E-2</v>
      </c>
    </row>
    <row r="79" spans="3:8" x14ac:dyDescent="0.25">
      <c r="C79">
        <v>8.1562500000003482</v>
      </c>
      <c r="E79">
        <v>0.99899999999998623</v>
      </c>
      <c r="G79">
        <v>6.6469820831992779E-2</v>
      </c>
    </row>
    <row r="80" spans="3:8" x14ac:dyDescent="0.25">
      <c r="C80">
        <v>5.4521444164896105</v>
      </c>
      <c r="E80">
        <v>0.99899999999999378</v>
      </c>
      <c r="G80">
        <v>6.6469820831992779E-2</v>
      </c>
    </row>
    <row r="81" spans="3:7" x14ac:dyDescent="0.25">
      <c r="C81">
        <v>5.4521444164896549</v>
      </c>
      <c r="E81">
        <v>0.99899999999999056</v>
      </c>
      <c r="G81">
        <v>6.6469820831992779E-2</v>
      </c>
    </row>
    <row r="82" spans="3:7" x14ac:dyDescent="0.25">
      <c r="C82">
        <v>28.611000000001326</v>
      </c>
      <c r="E82">
        <v>0.9989999999999889</v>
      </c>
      <c r="G82">
        <v>6.6469820831992779E-2</v>
      </c>
    </row>
    <row r="83" spans="3:7" x14ac:dyDescent="0.25">
      <c r="C83">
        <v>7.321789272962639</v>
      </c>
      <c r="E83">
        <v>0.99899999999999478</v>
      </c>
      <c r="G83">
        <v>6.6469820831992779E-2</v>
      </c>
    </row>
    <row r="84" spans="3:7" x14ac:dyDescent="0.25">
      <c r="C84">
        <v>7.3217892729626231</v>
      </c>
      <c r="E84">
        <v>0.99900000000000122</v>
      </c>
      <c r="G84">
        <v>6.6469820831992779E-2</v>
      </c>
    </row>
    <row r="85" spans="3:7" x14ac:dyDescent="0.25">
      <c r="C85">
        <v>7.3217892729626275</v>
      </c>
      <c r="E85">
        <v>0.99900000000000078</v>
      </c>
      <c r="G85">
        <v>6.6469820831992779E-2</v>
      </c>
    </row>
    <row r="86" spans="3:7" x14ac:dyDescent="0.25">
      <c r="C86">
        <v>7.3217892729626488</v>
      </c>
      <c r="E86">
        <v>0.999000000000001</v>
      </c>
      <c r="G86">
        <v>6.6469820831992779E-2</v>
      </c>
    </row>
    <row r="87" spans="3:7" x14ac:dyDescent="0.25">
      <c r="C87">
        <v>6.5861444164896135</v>
      </c>
      <c r="E87">
        <v>3.8619260332443197</v>
      </c>
      <c r="G87">
        <v>6.6469820831992779E-2</v>
      </c>
    </row>
    <row r="88" spans="3:7" x14ac:dyDescent="0.25">
      <c r="C88">
        <v>7.4073669815450023</v>
      </c>
      <c r="E88">
        <v>7.4238290523281893</v>
      </c>
      <c r="G88">
        <v>6.6469820831992779E-2</v>
      </c>
    </row>
    <row r="89" spans="3:7" x14ac:dyDescent="0.25">
      <c r="C89">
        <v>8.0153756474358087</v>
      </c>
      <c r="E89">
        <v>0.47556905481870182</v>
      </c>
      <c r="G89">
        <v>6.6469820831992779E-2</v>
      </c>
    </row>
    <row r="90" spans="3:7" x14ac:dyDescent="0.25">
      <c r="C90">
        <v>7.5901256474359924</v>
      </c>
      <c r="E90">
        <v>0.68399999999999439</v>
      </c>
      <c r="G90">
        <v>6.6469820831992779E-2</v>
      </c>
    </row>
    <row r="91" spans="3:7" x14ac:dyDescent="0.25">
      <c r="C91">
        <v>8.015375647436036</v>
      </c>
      <c r="E91">
        <v>6.4884337126192353</v>
      </c>
      <c r="G91">
        <v>6.6469820831992779E-2</v>
      </c>
    </row>
    <row r="92" spans="3:7" x14ac:dyDescent="0.25">
      <c r="C92">
        <v>8.0153756474359525</v>
      </c>
      <c r="E92">
        <v>1.1055690548186867</v>
      </c>
      <c r="G92">
        <v>6.6469820831992779E-2</v>
      </c>
    </row>
    <row r="93" spans="3:7" x14ac:dyDescent="0.25">
      <c r="C93">
        <v>0.24893137807444929</v>
      </c>
      <c r="E93">
        <v>1.1055690548186834</v>
      </c>
      <c r="G93">
        <v>6.6469820831992779E-2</v>
      </c>
    </row>
    <row r="94" spans="3:7" x14ac:dyDescent="0.25">
      <c r="C94">
        <v>0.24386887807444421</v>
      </c>
      <c r="E94">
        <v>1.1055690548186849</v>
      </c>
      <c r="G94">
        <v>6.6469820831992779E-2</v>
      </c>
    </row>
    <row r="95" spans="3:7" x14ac:dyDescent="0.25">
      <c r="C95" t="s">
        <v>251</v>
      </c>
      <c r="E95">
        <v>1.1055690548186856</v>
      </c>
      <c r="G95">
        <v>6.6469820831992779E-2</v>
      </c>
    </row>
    <row r="96" spans="3:7" x14ac:dyDescent="0.25">
      <c r="C96">
        <v>8.0153756474358886</v>
      </c>
      <c r="E96">
        <v>1.1055690548186896</v>
      </c>
      <c r="G96">
        <v>6.6469820831992779E-2</v>
      </c>
    </row>
    <row r="97" spans="3:7" x14ac:dyDescent="0.25">
      <c r="C97">
        <v>8.0153756474359064</v>
      </c>
      <c r="E97">
        <v>1.1055690548186896</v>
      </c>
      <c r="G97">
        <v>6.6469820831992779E-2</v>
      </c>
    </row>
    <row r="98" spans="3:7" x14ac:dyDescent="0.25">
      <c r="C98">
        <v>8.0153756474360396</v>
      </c>
      <c r="E98">
        <v>1.2939177705337215</v>
      </c>
      <c r="G98">
        <v>6.6469820831992779E-2</v>
      </c>
    </row>
    <row r="99" spans="3:7" x14ac:dyDescent="0.25">
      <c r="C99">
        <v>8.0153756474359721</v>
      </c>
      <c r="E99">
        <v>2.6347499999999942</v>
      </c>
      <c r="G99">
        <v>6.6469820831992779E-2</v>
      </c>
    </row>
    <row r="100" spans="3:7" x14ac:dyDescent="0.25">
      <c r="C100">
        <v>9.6788445236849121</v>
      </c>
      <c r="E100">
        <v>2.6483569784256304</v>
      </c>
      <c r="G100">
        <v>6.6469820831992779E-2</v>
      </c>
    </row>
    <row r="101" spans="3:7" x14ac:dyDescent="0.25">
      <c r="C101">
        <v>7.2089999999997154</v>
      </c>
      <c r="E101">
        <v>5.9484337126192415</v>
      </c>
      <c r="G101">
        <v>6.6469820831992779E-2</v>
      </c>
    </row>
    <row r="102" spans="3:7" x14ac:dyDescent="0.25">
      <c r="C102">
        <v>0.54321656624878023</v>
      </c>
      <c r="E102">
        <v>5.9484337126192415</v>
      </c>
      <c r="G102">
        <v>6.6469820831992779E-2</v>
      </c>
    </row>
    <row r="103" spans="3:7" x14ac:dyDescent="0.25">
      <c r="C103">
        <v>22.947895593585045</v>
      </c>
      <c r="E103">
        <v>1.3066200000000221</v>
      </c>
      <c r="G103">
        <v>6.6469820831992779E-2</v>
      </c>
    </row>
    <row r="104" spans="3:7" x14ac:dyDescent="0.25">
      <c r="C104">
        <v>1.4892958407249479</v>
      </c>
      <c r="E104">
        <v>1.2939177705337217</v>
      </c>
      <c r="G104">
        <v>6.6469820831992779E-2</v>
      </c>
    </row>
    <row r="105" spans="3:7" x14ac:dyDescent="0.25">
      <c r="C105">
        <v>0.94487848928385387</v>
      </c>
      <c r="E105">
        <v>1.8810000000000051</v>
      </c>
      <c r="G105">
        <v>6.6469820831992779E-2</v>
      </c>
    </row>
    <row r="106" spans="3:7" x14ac:dyDescent="0.25">
      <c r="C106" t="s">
        <v>251</v>
      </c>
      <c r="E106">
        <v>1.2399177705337219</v>
      </c>
      <c r="G106">
        <v>6.6469820831992779E-2</v>
      </c>
    </row>
    <row r="107" spans="3:7" x14ac:dyDescent="0.25">
      <c r="C107" t="s">
        <v>251</v>
      </c>
      <c r="E107">
        <v>1.3066200000000123</v>
      </c>
      <c r="G107">
        <v>6.6469820831992779E-2</v>
      </c>
    </row>
    <row r="108" spans="3:7" x14ac:dyDescent="0.25">
      <c r="C108" t="s">
        <v>251</v>
      </c>
      <c r="E108">
        <v>1.3066200000000092</v>
      </c>
      <c r="G108">
        <v>6.6469820831992779E-2</v>
      </c>
    </row>
    <row r="109" spans="3:7" x14ac:dyDescent="0.25">
      <c r="C109">
        <v>34.272948569190277</v>
      </c>
      <c r="E109">
        <v>1.3066200000000083</v>
      </c>
      <c r="G109">
        <v>6.6469820831992779E-2</v>
      </c>
    </row>
    <row r="110" spans="3:7" x14ac:dyDescent="0.25">
      <c r="C110">
        <v>10.239745921731805</v>
      </c>
      <c r="E110">
        <v>1.2804740504552878</v>
      </c>
      <c r="G110">
        <v>6.6469820831992779E-2</v>
      </c>
    </row>
    <row r="111" spans="3:7" x14ac:dyDescent="0.25">
      <c r="C111">
        <v>9.8644949999997245</v>
      </c>
      <c r="E111">
        <v>1.3066200000000057</v>
      </c>
    </row>
    <row r="112" spans="3:7" x14ac:dyDescent="0.25">
      <c r="C112">
        <v>10.327436865800527</v>
      </c>
      <c r="E112">
        <v>9.3738624444922305</v>
      </c>
    </row>
    <row r="113" spans="3:5" x14ac:dyDescent="0.25">
      <c r="C113">
        <v>9.9021868658005232</v>
      </c>
      <c r="E113">
        <v>4.9149260332443383</v>
      </c>
    </row>
    <row r="114" spans="3:5" x14ac:dyDescent="0.25">
      <c r="C114">
        <v>9.5444368658004848</v>
      </c>
      <c r="E114">
        <v>7.4220333921640442</v>
      </c>
    </row>
    <row r="115" spans="3:5" x14ac:dyDescent="0.25">
      <c r="C115">
        <v>9.93593686580056</v>
      </c>
      <c r="E115">
        <v>1.1595690548186841</v>
      </c>
    </row>
    <row r="116" spans="3:5" x14ac:dyDescent="0.25">
      <c r="C116">
        <v>7.6342499999997155</v>
      </c>
      <c r="E116">
        <v>6.4884337126192335</v>
      </c>
    </row>
    <row r="117" spans="3:5" x14ac:dyDescent="0.25">
      <c r="C117">
        <v>3.5700000000000069</v>
      </c>
      <c r="E117">
        <v>1.1055690548186943</v>
      </c>
    </row>
    <row r="118" spans="3:5" x14ac:dyDescent="0.25">
      <c r="C118">
        <v>42.034937617091323</v>
      </c>
      <c r="E118">
        <v>1.1055690548186861</v>
      </c>
    </row>
    <row r="119" spans="3:5" x14ac:dyDescent="0.25">
      <c r="C119">
        <v>6.6959999999997128</v>
      </c>
      <c r="E119">
        <v>1.1055690548186863</v>
      </c>
    </row>
    <row r="120" spans="3:5" x14ac:dyDescent="0.25">
      <c r="C120">
        <v>5.4521444164891157</v>
      </c>
      <c r="E120">
        <v>1.1055690548186823</v>
      </c>
    </row>
    <row r="121" spans="3:5" x14ac:dyDescent="0.25">
      <c r="C121">
        <v>27.958499999998782</v>
      </c>
      <c r="E121">
        <v>1.1055690548186845</v>
      </c>
    </row>
    <row r="122" spans="3:5" x14ac:dyDescent="0.25">
      <c r="C122">
        <v>7.2427499999997274</v>
      </c>
      <c r="E122">
        <v>1.1055690548186865</v>
      </c>
    </row>
    <row r="123" spans="3:5" x14ac:dyDescent="0.25">
      <c r="C123">
        <v>7.2427499999997051</v>
      </c>
      <c r="E123">
        <v>3.1500000000000146</v>
      </c>
    </row>
    <row r="124" spans="3:5" x14ac:dyDescent="0.25">
      <c r="C124">
        <v>7.2427499999997007</v>
      </c>
      <c r="E124">
        <v>0.96243371261921706</v>
      </c>
    </row>
    <row r="125" spans="3:5" x14ac:dyDescent="0.25">
      <c r="C125">
        <v>7.2427499999996963</v>
      </c>
      <c r="E125">
        <v>3.0960000000000054</v>
      </c>
    </row>
    <row r="126" spans="3:5" x14ac:dyDescent="0.25">
      <c r="C126">
        <v>6.586144416489117</v>
      </c>
      <c r="E126">
        <v>0.90843371261921724</v>
      </c>
    </row>
    <row r="127" spans="3:5" x14ac:dyDescent="0.25">
      <c r="C127">
        <v>8.9013944164890155</v>
      </c>
      <c r="E127">
        <v>6.299999999999828E-2</v>
      </c>
    </row>
    <row r="128" spans="3:5" x14ac:dyDescent="0.25">
      <c r="C128">
        <v>8.3350224518485998</v>
      </c>
      <c r="E128">
        <v>6.3000000000002179E-2</v>
      </c>
    </row>
    <row r="129" spans="3:5" x14ac:dyDescent="0.25">
      <c r="C129">
        <v>8.5385788061254235</v>
      </c>
      <c r="E129">
        <v>6.300000000000619E-2</v>
      </c>
    </row>
    <row r="130" spans="3:5" x14ac:dyDescent="0.25">
      <c r="C130">
        <v>8.5385788061253134</v>
      </c>
      <c r="E130">
        <v>1.3606200000000093</v>
      </c>
    </row>
    <row r="131" spans="3:5" x14ac:dyDescent="0.25">
      <c r="C131">
        <v>0.24386887807444391</v>
      </c>
      <c r="E131">
        <v>5.7522293727833702</v>
      </c>
    </row>
    <row r="132" spans="3:5" x14ac:dyDescent="0.25">
      <c r="C132" t="s">
        <v>251</v>
      </c>
      <c r="E132">
        <v>1.3066200000000197</v>
      </c>
    </row>
    <row r="133" spans="3:5" x14ac:dyDescent="0.25">
      <c r="C133">
        <v>8.5385788061252867</v>
      </c>
      <c r="E133">
        <v>5.7432293727833725</v>
      </c>
    </row>
    <row r="134" spans="3:5" x14ac:dyDescent="0.25">
      <c r="C134">
        <v>8.5385788061253098</v>
      </c>
      <c r="E134">
        <v>1.3066200000000088</v>
      </c>
    </row>
    <row r="135" spans="3:5" x14ac:dyDescent="0.25">
      <c r="C135">
        <v>8.5385788061253756</v>
      </c>
      <c r="E135">
        <v>1.3066200000000041</v>
      </c>
    </row>
    <row r="136" spans="3:5" x14ac:dyDescent="0.25">
      <c r="C136">
        <v>264.91331007733714</v>
      </c>
      <c r="E136">
        <v>1.3066200000000103</v>
      </c>
    </row>
    <row r="137" spans="3:5" x14ac:dyDescent="0.25">
      <c r="C137">
        <v>0.63088108162549372</v>
      </c>
      <c r="E137">
        <v>1.3066200000000121</v>
      </c>
    </row>
    <row r="138" spans="3:5" x14ac:dyDescent="0.25">
      <c r="C138">
        <v>22.837500000000109</v>
      </c>
      <c r="E138">
        <v>1.3066200000000199</v>
      </c>
    </row>
    <row r="139" spans="3:5" x14ac:dyDescent="0.25">
      <c r="C139">
        <v>1.8963054247949698</v>
      </c>
      <c r="E139">
        <v>1.097999999999993</v>
      </c>
    </row>
    <row r="140" spans="3:5" x14ac:dyDescent="0.25">
      <c r="C140">
        <v>1.403264705829353</v>
      </c>
      <c r="E140">
        <v>4.4837956601641489</v>
      </c>
    </row>
    <row r="141" spans="3:5" x14ac:dyDescent="0.25">
      <c r="C141" t="s">
        <v>251</v>
      </c>
      <c r="E141">
        <v>1.0440000000000034</v>
      </c>
    </row>
    <row r="142" spans="3:5" x14ac:dyDescent="0.25">
      <c r="C142" t="s">
        <v>251</v>
      </c>
      <c r="E142">
        <v>1.0439999999999972</v>
      </c>
    </row>
    <row r="143" spans="3:5" x14ac:dyDescent="0.25">
      <c r="C143" t="s">
        <v>251</v>
      </c>
      <c r="E143">
        <v>1.0439999999999923</v>
      </c>
    </row>
    <row r="144" spans="3:5" x14ac:dyDescent="0.25">
      <c r="C144">
        <v>33.158149416489174</v>
      </c>
      <c r="E144">
        <v>1.0439999999999932</v>
      </c>
    </row>
    <row r="145" spans="3:5" x14ac:dyDescent="0.25">
      <c r="C145">
        <v>22.412250000000004</v>
      </c>
      <c r="E145">
        <v>1.0530000000000217</v>
      </c>
    </row>
    <row r="146" spans="3:5" x14ac:dyDescent="0.25">
      <c r="C146">
        <v>22.837500000000009</v>
      </c>
      <c r="E146">
        <v>1.9253307079728919</v>
      </c>
    </row>
    <row r="147" spans="3:5" x14ac:dyDescent="0.25">
      <c r="C147">
        <v>9.9359368658009366</v>
      </c>
      <c r="E147">
        <v>0.99900000000002154</v>
      </c>
    </row>
    <row r="148" spans="3:5" x14ac:dyDescent="0.25">
      <c r="C148">
        <v>9.902186865800946</v>
      </c>
    </row>
    <row r="149" spans="3:5" x14ac:dyDescent="0.25">
      <c r="C149">
        <v>9.5444368658009147</v>
      </c>
    </row>
    <row r="150" spans="3:5" x14ac:dyDescent="0.25">
      <c r="C150">
        <v>9.9359368658009668</v>
      </c>
    </row>
    <row r="151" spans="3:5" x14ac:dyDescent="0.25">
      <c r="C151">
        <v>7.764749999999994</v>
      </c>
    </row>
    <row r="152" spans="3:5" x14ac:dyDescent="0.25">
      <c r="C152">
        <v>7.7962500000000317</v>
      </c>
    </row>
    <row r="153" spans="3:5" x14ac:dyDescent="0.25">
      <c r="C153">
        <v>40.641662952679368</v>
      </c>
    </row>
    <row r="154" spans="3:5" x14ac:dyDescent="0.25">
      <c r="C154">
        <v>6.6960000000000246</v>
      </c>
    </row>
    <row r="155" spans="3:5" x14ac:dyDescent="0.25">
      <c r="C155">
        <v>5.4651629526792815</v>
      </c>
    </row>
    <row r="156" spans="3:5" x14ac:dyDescent="0.25">
      <c r="C156">
        <v>9.1623944164893931</v>
      </c>
    </row>
    <row r="157" spans="3:5" x14ac:dyDescent="0.25">
      <c r="C157">
        <v>27.971518536190054</v>
      </c>
    </row>
    <row r="158" spans="3:5" x14ac:dyDescent="0.25">
      <c r="C158">
        <v>7.373249999999965</v>
      </c>
    </row>
    <row r="159" spans="3:5" x14ac:dyDescent="0.25">
      <c r="C159">
        <v>7.3732499999999614</v>
      </c>
    </row>
    <row r="160" spans="3:5" x14ac:dyDescent="0.25">
      <c r="C160">
        <v>7.3732499999999908</v>
      </c>
    </row>
    <row r="161" spans="3:3" x14ac:dyDescent="0.25">
      <c r="C161">
        <v>6.599162952679289</v>
      </c>
    </row>
    <row r="162" spans="3:3" x14ac:dyDescent="0.25">
      <c r="C162">
        <v>8.4536444164893911</v>
      </c>
    </row>
    <row r="163" spans="3:3" x14ac:dyDescent="0.25">
      <c r="C163">
        <v>8.0153756474354978</v>
      </c>
    </row>
    <row r="164" spans="3:3" x14ac:dyDescent="0.25">
      <c r="C164">
        <v>8.2111256474356722</v>
      </c>
    </row>
    <row r="165" spans="3:3" x14ac:dyDescent="0.25">
      <c r="C165">
        <v>8.2111256474356349</v>
      </c>
    </row>
    <row r="166" spans="3:3" x14ac:dyDescent="0.25">
      <c r="C166">
        <v>0.40644813012407316</v>
      </c>
    </row>
    <row r="167" spans="3:3" x14ac:dyDescent="0.25">
      <c r="C167" t="s">
        <v>251</v>
      </c>
    </row>
    <row r="168" spans="3:3" x14ac:dyDescent="0.25">
      <c r="C168">
        <v>8.2111256474355905</v>
      </c>
    </row>
    <row r="169" spans="3:3" x14ac:dyDescent="0.25">
      <c r="C169">
        <v>8.2111256474356136</v>
      </c>
    </row>
    <row r="170" spans="3:3" x14ac:dyDescent="0.25">
      <c r="C170">
        <v>7.7858756474357262</v>
      </c>
    </row>
    <row r="171" spans="3:3" x14ac:dyDescent="0.25">
      <c r="C171">
        <v>8.2111256474357273</v>
      </c>
    </row>
    <row r="172" spans="3:3" x14ac:dyDescent="0.25">
      <c r="C172">
        <v>16.535799020214075</v>
      </c>
    </row>
    <row r="173" spans="3:3" x14ac:dyDescent="0.25">
      <c r="C173">
        <v>31.260000000000115</v>
      </c>
    </row>
    <row r="174" spans="3:3" x14ac:dyDescent="0.25">
      <c r="C174">
        <v>18.737624114021887</v>
      </c>
    </row>
    <row r="175" spans="3:3" x14ac:dyDescent="0.25">
      <c r="C175">
        <v>1.3799999999999519</v>
      </c>
    </row>
    <row r="176" spans="3:3" x14ac:dyDescent="0.25">
      <c r="C176">
        <v>3.2256859685262724</v>
      </c>
    </row>
    <row r="177" spans="3:3" x14ac:dyDescent="0.25">
      <c r="C177">
        <v>1.3234443850337385</v>
      </c>
    </row>
    <row r="178" spans="3:3" x14ac:dyDescent="0.25">
      <c r="C178">
        <v>2.932187189956819</v>
      </c>
    </row>
    <row r="179" spans="3:3" x14ac:dyDescent="0.25">
      <c r="C179">
        <v>7.4385000000002908</v>
      </c>
    </row>
    <row r="180" spans="3:3" x14ac:dyDescent="0.25">
      <c r="C180">
        <v>9.1191868658013142</v>
      </c>
    </row>
    <row r="181" spans="3:3" x14ac:dyDescent="0.25">
      <c r="C181">
        <v>16.049250000000697</v>
      </c>
    </row>
    <row r="182" spans="3:3" x14ac:dyDescent="0.25">
      <c r="C182">
        <v>14.223937500000609</v>
      </c>
    </row>
    <row r="183" spans="3:3" x14ac:dyDescent="0.25">
      <c r="C183">
        <v>7.3217892729623397</v>
      </c>
    </row>
    <row r="184" spans="3:3" x14ac:dyDescent="0.25">
      <c r="C184">
        <v>9.1191868658009625</v>
      </c>
    </row>
    <row r="185" spans="3:3" x14ac:dyDescent="0.25">
      <c r="C185">
        <v>16.337949512389091</v>
      </c>
    </row>
    <row r="186" spans="3:3" x14ac:dyDescent="0.25">
      <c r="C186">
        <v>14.103699512389033</v>
      </c>
    </row>
    <row r="187" spans="3:3" x14ac:dyDescent="0.25">
      <c r="C187">
        <v>2.6795863750384901</v>
      </c>
    </row>
    <row r="188" spans="3:3" x14ac:dyDescent="0.25">
      <c r="C188">
        <v>2.6795863750385016</v>
      </c>
    </row>
    <row r="189" spans="3:3" x14ac:dyDescent="0.25">
      <c r="C189" t="s">
        <v>251</v>
      </c>
    </row>
    <row r="190" spans="3:3" x14ac:dyDescent="0.25">
      <c r="C190">
        <v>5.8436444164896741</v>
      </c>
    </row>
    <row r="191" spans="3:3" x14ac:dyDescent="0.25">
      <c r="C191">
        <v>5.8436444164896297</v>
      </c>
    </row>
    <row r="192" spans="3:3" x14ac:dyDescent="0.25">
      <c r="C192">
        <v>9.9036450000004219</v>
      </c>
    </row>
    <row r="193" spans="3:3" x14ac:dyDescent="0.25">
      <c r="C193">
        <v>7.2273451172715806</v>
      </c>
    </row>
    <row r="194" spans="3:3" x14ac:dyDescent="0.25">
      <c r="C194">
        <v>7.2273451172715584</v>
      </c>
    </row>
    <row r="195" spans="3:3" x14ac:dyDescent="0.25">
      <c r="C195">
        <v>22.102095117272135</v>
      </c>
    </row>
    <row r="196" spans="3:3" x14ac:dyDescent="0.25">
      <c r="C196">
        <v>8.3389950000004927</v>
      </c>
    </row>
    <row r="197" spans="3:3" x14ac:dyDescent="0.25">
      <c r="C197">
        <v>5.452144416489408</v>
      </c>
    </row>
    <row r="198" spans="3:3" x14ac:dyDescent="0.25">
      <c r="C198">
        <v>5.8436444164893633</v>
      </c>
    </row>
    <row r="199" spans="3:3" x14ac:dyDescent="0.25">
      <c r="C199">
        <v>7.3217892729626</v>
      </c>
    </row>
    <row r="200" spans="3:3" x14ac:dyDescent="0.25">
      <c r="C200">
        <v>7.9605000000003336</v>
      </c>
    </row>
    <row r="201" spans="3:3" x14ac:dyDescent="0.25">
      <c r="C201">
        <v>9.9036450000004326</v>
      </c>
    </row>
    <row r="202" spans="3:3" x14ac:dyDescent="0.25">
      <c r="C202">
        <v>7.2427499999997274</v>
      </c>
    </row>
    <row r="203" spans="3:3" x14ac:dyDescent="0.25">
      <c r="C203">
        <v>9.9021868658005303</v>
      </c>
    </row>
    <row r="204" spans="3:3" x14ac:dyDescent="0.25">
      <c r="C204">
        <v>15.986249999999401</v>
      </c>
    </row>
    <row r="205" spans="3:3" x14ac:dyDescent="0.25">
      <c r="C205">
        <v>13.71824999999936</v>
      </c>
    </row>
    <row r="206" spans="3:3" x14ac:dyDescent="0.25">
      <c r="C206">
        <v>3.5700000000000216</v>
      </c>
    </row>
    <row r="207" spans="3:3" x14ac:dyDescent="0.25">
      <c r="C207">
        <v>7.8299999999997159</v>
      </c>
    </row>
    <row r="208" spans="3:3" x14ac:dyDescent="0.25">
      <c r="C208">
        <v>7.6342499999997155</v>
      </c>
    </row>
    <row r="209" spans="3:3" x14ac:dyDescent="0.25">
      <c r="C209">
        <v>11.099760629378745</v>
      </c>
    </row>
    <row r="210" spans="3:3" x14ac:dyDescent="0.25">
      <c r="C210">
        <v>20.131528280886368</v>
      </c>
    </row>
    <row r="211" spans="3:3" x14ac:dyDescent="0.25">
      <c r="C211">
        <v>5.8436444164890995</v>
      </c>
    </row>
    <row r="212" spans="3:3" x14ac:dyDescent="0.25">
      <c r="C212">
        <v>7.53158510823397</v>
      </c>
    </row>
    <row r="213" spans="3:3" x14ac:dyDescent="0.25">
      <c r="C213">
        <v>7.242749999999706</v>
      </c>
    </row>
    <row r="214" spans="3:3" x14ac:dyDescent="0.25">
      <c r="C214">
        <v>12.790897632803484</v>
      </c>
    </row>
    <row r="215" spans="3:3" x14ac:dyDescent="0.25">
      <c r="C215">
        <v>6.8175000000000212</v>
      </c>
    </row>
    <row r="216" spans="3:3" x14ac:dyDescent="0.25">
      <c r="C216">
        <v>8.9556538363691391</v>
      </c>
    </row>
    <row r="217" spans="3:3" x14ac:dyDescent="0.25">
      <c r="C217">
        <v>9.0359999999996052</v>
      </c>
    </row>
    <row r="218" spans="3:3" x14ac:dyDescent="0.25">
      <c r="C218">
        <v>8.935144416488999</v>
      </c>
    </row>
    <row r="219" spans="3:3" x14ac:dyDescent="0.25">
      <c r="C219">
        <v>9.9021868658009478</v>
      </c>
    </row>
    <row r="220" spans="3:3" x14ac:dyDescent="0.25">
      <c r="C220">
        <v>7.3732499999999632</v>
      </c>
    </row>
    <row r="221" spans="3:3" x14ac:dyDescent="0.25">
      <c r="C221">
        <v>9.9036450000000436</v>
      </c>
    </row>
    <row r="222" spans="3:3" x14ac:dyDescent="0.25">
      <c r="C222">
        <v>9.4783950000000416</v>
      </c>
    </row>
    <row r="223" spans="3:3" x14ac:dyDescent="0.25">
      <c r="C223">
        <v>7.2427500000000204</v>
      </c>
    </row>
    <row r="224" spans="3:3" x14ac:dyDescent="0.25">
      <c r="C224">
        <v>3.3135000000000079</v>
      </c>
    </row>
    <row r="225" spans="3:3" x14ac:dyDescent="0.25">
      <c r="C225">
        <v>12.530279165569031</v>
      </c>
    </row>
    <row r="226" spans="3:3" x14ac:dyDescent="0.25">
      <c r="C226">
        <v>10.721279165568989</v>
      </c>
    </row>
    <row r="227" spans="3:3" x14ac:dyDescent="0.25">
      <c r="C227">
        <v>2.5800000000000192</v>
      </c>
    </row>
    <row r="228" spans="3:3" x14ac:dyDescent="0.25">
      <c r="C228">
        <v>6.7499999999999991</v>
      </c>
    </row>
    <row r="229" spans="3:3" x14ac:dyDescent="0.25">
      <c r="C229">
        <v>5.31000000000002</v>
      </c>
    </row>
    <row r="230" spans="3:3" x14ac:dyDescent="0.25">
      <c r="C230">
        <v>6.4800000000000013</v>
      </c>
    </row>
    <row r="231" spans="3:3" x14ac:dyDescent="0.25">
      <c r="C231">
        <v>5.0400000000000205</v>
      </c>
    </row>
    <row r="232" spans="3:3" x14ac:dyDescent="0.25">
      <c r="C232">
        <v>3.600000000000017</v>
      </c>
    </row>
    <row r="233" spans="3:3" x14ac:dyDescent="0.25">
      <c r="C233">
        <v>3.720000000000018</v>
      </c>
    </row>
    <row r="234" spans="3:3" x14ac:dyDescent="0.25">
      <c r="C234">
        <v>5.3315918630599208</v>
      </c>
    </row>
    <row r="235" spans="3:3" x14ac:dyDescent="0.25">
      <c r="C235">
        <v>8.935144416489031</v>
      </c>
    </row>
    <row r="236" spans="3:3" x14ac:dyDescent="0.25">
      <c r="C236">
        <v>13.790587499999338</v>
      </c>
    </row>
    <row r="237" spans="3:3" x14ac:dyDescent="0.25">
      <c r="C237">
        <v>8.935144416488999</v>
      </c>
    </row>
    <row r="238" spans="3:3" x14ac:dyDescent="0.25">
      <c r="C238">
        <v>42.995644416487764</v>
      </c>
    </row>
    <row r="239" spans="3:3" x14ac:dyDescent="0.25">
      <c r="C239">
        <v>9.93593686580056</v>
      </c>
    </row>
    <row r="240" spans="3:3" x14ac:dyDescent="0.25">
      <c r="C240">
        <v>42.995644416487764</v>
      </c>
    </row>
    <row r="241" spans="3:3" x14ac:dyDescent="0.25">
      <c r="C241">
        <v>9.472994999999738</v>
      </c>
    </row>
    <row r="242" spans="3:3" x14ac:dyDescent="0.25">
      <c r="C242">
        <v>9.5444368658005541</v>
      </c>
    </row>
    <row r="243" spans="3:3" x14ac:dyDescent="0.25">
      <c r="C243">
        <v>9.5444368658005487</v>
      </c>
    </row>
    <row r="244" spans="3:3" x14ac:dyDescent="0.25">
      <c r="C244">
        <v>9.5444368658005541</v>
      </c>
    </row>
    <row r="245" spans="3:3" x14ac:dyDescent="0.25">
      <c r="C245">
        <v>9.5444368658005043</v>
      </c>
    </row>
    <row r="246" spans="3:3" x14ac:dyDescent="0.25">
      <c r="C246">
        <v>7.0076515421879151</v>
      </c>
    </row>
    <row r="247" spans="3:3" x14ac:dyDescent="0.25">
      <c r="C247">
        <v>0.15000000000000027</v>
      </c>
    </row>
    <row r="248" spans="3:3" x14ac:dyDescent="0.25">
      <c r="C248">
        <v>2.6445027274951807</v>
      </c>
    </row>
    <row r="249" spans="3:3" x14ac:dyDescent="0.25">
      <c r="C249">
        <v>4.7435638289672859</v>
      </c>
    </row>
    <row r="250" spans="3:3" x14ac:dyDescent="0.25">
      <c r="C250">
        <v>6.21</v>
      </c>
    </row>
    <row r="251" spans="3:3" x14ac:dyDescent="0.25">
      <c r="C251">
        <v>3.8795638289672962</v>
      </c>
    </row>
    <row r="252" spans="3:3" x14ac:dyDescent="0.25">
      <c r="C252">
        <v>5.763874057054327</v>
      </c>
    </row>
    <row r="311" spans="3:3" x14ac:dyDescent="0.25">
      <c r="C311">
        <v>10.68185096</v>
      </c>
    </row>
    <row r="312" spans="3:3" x14ac:dyDescent="0.25">
      <c r="C312">
        <v>5.949235238</v>
      </c>
    </row>
    <row r="313" spans="3:3" x14ac:dyDescent="0.25">
      <c r="C313">
        <v>5.7761085369999998</v>
      </c>
    </row>
    <row r="314" spans="3:3" x14ac:dyDescent="0.25">
      <c r="C314">
        <v>21.146110400000001</v>
      </c>
    </row>
    <row r="315" spans="3:3" x14ac:dyDescent="0.25">
      <c r="C315">
        <v>5.9293691280000003</v>
      </c>
    </row>
    <row r="316" spans="3:3" x14ac:dyDescent="0.25">
      <c r="C316">
        <v>5.9419628290000004</v>
      </c>
    </row>
    <row r="317" spans="3:3" x14ac:dyDescent="0.25">
      <c r="C317">
        <v>10.4625</v>
      </c>
    </row>
    <row r="318" spans="3:3" x14ac:dyDescent="0.25">
      <c r="C318">
        <v>8.9519877650000002</v>
      </c>
    </row>
    <row r="323" spans="3:3" x14ac:dyDescent="0.25">
      <c r="C323">
        <v>2.2637175869999999</v>
      </c>
    </row>
    <row r="325" spans="3:3" x14ac:dyDescent="0.25">
      <c r="C325">
        <v>10.68185096</v>
      </c>
    </row>
    <row r="326" spans="3:3" x14ac:dyDescent="0.25">
      <c r="C326">
        <v>5.949235238</v>
      </c>
    </row>
    <row r="327" spans="3:3" x14ac:dyDescent="0.25">
      <c r="C327">
        <v>5.7761085369999998</v>
      </c>
    </row>
    <row r="328" spans="3:3" x14ac:dyDescent="0.25">
      <c r="C328">
        <v>21.146110400000001</v>
      </c>
    </row>
    <row r="329" spans="3:3" x14ac:dyDescent="0.25">
      <c r="C329">
        <v>5.9293691280000003</v>
      </c>
    </row>
    <row r="330" spans="3:3" x14ac:dyDescent="0.25">
      <c r="C330">
        <v>6.5568547319999997</v>
      </c>
    </row>
    <row r="332" spans="3:3" x14ac:dyDescent="0.25">
      <c r="C332">
        <f>SUM(C2:C330)</f>
        <v>2571.8382422698905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136D-5C38-4959-B2BA-064BD0538202}">
  <sheetPr codeName="Sheet2"/>
  <dimension ref="A2:AA24"/>
  <sheetViews>
    <sheetView topLeftCell="F1" workbookViewId="0">
      <selection activeCell="K22" sqref="K22"/>
    </sheetView>
  </sheetViews>
  <sheetFormatPr defaultRowHeight="15" x14ac:dyDescent="0.25"/>
  <cols>
    <col min="1" max="1" width="39.28515625" customWidth="1"/>
    <col min="2" max="2" width="25.7109375" customWidth="1"/>
    <col min="3" max="3" width="17.28515625" customWidth="1"/>
    <col min="5" max="5" width="18.7109375" customWidth="1"/>
    <col min="6" max="6" width="15.140625" customWidth="1"/>
    <col min="7" max="7" width="13.42578125" customWidth="1"/>
    <col min="8" max="8" width="14.42578125" customWidth="1"/>
    <col min="9" max="9" width="16" customWidth="1"/>
    <col min="10" max="10" width="12.85546875" customWidth="1"/>
    <col min="11" max="11" width="10.42578125" customWidth="1"/>
    <col min="12" max="12" width="10.85546875" customWidth="1"/>
    <col min="13" max="13" width="10.42578125" customWidth="1"/>
    <col min="14" max="14" width="11.140625" customWidth="1"/>
    <col min="15" max="15" width="10.42578125" customWidth="1"/>
    <col min="16" max="16" width="10.140625" customWidth="1"/>
    <col min="17" max="18" width="10.85546875" customWidth="1"/>
  </cols>
  <sheetData>
    <row r="2" spans="1:27" ht="28.5" x14ac:dyDescent="0.45">
      <c r="A2" t="s">
        <v>29</v>
      </c>
      <c r="B2" s="2"/>
    </row>
    <row r="3" spans="1:27" ht="18.75" x14ac:dyDescent="0.3">
      <c r="F3" t="s">
        <v>61</v>
      </c>
      <c r="G3" t="s">
        <v>138</v>
      </c>
      <c r="H3" t="s">
        <v>62</v>
      </c>
      <c r="I3" t="s">
        <v>63</v>
      </c>
      <c r="J3" t="s">
        <v>64</v>
      </c>
      <c r="K3" t="s">
        <v>65</v>
      </c>
      <c r="L3" t="s">
        <v>57</v>
      </c>
      <c r="M3" t="s">
        <v>59</v>
      </c>
      <c r="N3" t="s">
        <v>66</v>
      </c>
      <c r="O3" t="s">
        <v>68</v>
      </c>
      <c r="P3" t="s">
        <v>72</v>
      </c>
      <c r="Q3" t="s">
        <v>69</v>
      </c>
      <c r="R3" t="s">
        <v>70</v>
      </c>
      <c r="S3" t="s">
        <v>71</v>
      </c>
      <c r="T3" t="s">
        <v>132</v>
      </c>
      <c r="U3" s="3"/>
      <c r="V3" s="3"/>
      <c r="W3" s="3"/>
      <c r="X3" s="3"/>
      <c r="Y3" s="3"/>
      <c r="Z3" s="3"/>
      <c r="AA3" s="3"/>
    </row>
    <row r="4" spans="1:27" x14ac:dyDescent="0.25">
      <c r="A4" s="1"/>
      <c r="B4" s="4"/>
      <c r="C4" s="4"/>
      <c r="D4" s="5" t="s">
        <v>30</v>
      </c>
      <c r="E4" s="4" t="s">
        <v>32</v>
      </c>
      <c r="F4" t="s">
        <v>121</v>
      </c>
      <c r="G4" s="4" t="s">
        <v>295</v>
      </c>
      <c r="H4" s="4" t="s">
        <v>122</v>
      </c>
      <c r="I4" t="s">
        <v>123</v>
      </c>
      <c r="J4" s="4" t="s">
        <v>124</v>
      </c>
      <c r="K4" t="s">
        <v>33</v>
      </c>
      <c r="L4" t="s">
        <v>58</v>
      </c>
      <c r="M4" t="s">
        <v>60</v>
      </c>
      <c r="N4" s="4" t="s">
        <v>67</v>
      </c>
      <c r="O4" t="s">
        <v>34</v>
      </c>
      <c r="P4" t="s">
        <v>73</v>
      </c>
      <c r="Q4" t="s">
        <v>35</v>
      </c>
      <c r="R4" t="s">
        <v>36</v>
      </c>
      <c r="S4" t="s">
        <v>37</v>
      </c>
      <c r="T4" t="s">
        <v>133</v>
      </c>
    </row>
    <row r="5" spans="1:27" x14ac:dyDescent="0.25">
      <c r="B5" s="4"/>
      <c r="C5" s="4"/>
      <c r="D5" s="5" t="s">
        <v>31</v>
      </c>
      <c r="E5" s="4"/>
      <c r="F5" t="s">
        <v>38</v>
      </c>
      <c r="G5" s="4" t="s">
        <v>39</v>
      </c>
      <c r="H5" s="4" t="s">
        <v>39</v>
      </c>
      <c r="I5" t="s">
        <v>39</v>
      </c>
      <c r="J5" s="4" t="s">
        <v>39</v>
      </c>
      <c r="K5" t="s">
        <v>38</v>
      </c>
      <c r="L5" t="s">
        <v>39</v>
      </c>
      <c r="M5" t="s">
        <v>77</v>
      </c>
      <c r="N5" s="4" t="s">
        <v>38</v>
      </c>
      <c r="O5" t="s">
        <v>39</v>
      </c>
      <c r="P5" t="s">
        <v>38</v>
      </c>
      <c r="Q5" t="s">
        <v>39</v>
      </c>
      <c r="R5" t="s">
        <v>38</v>
      </c>
      <c r="S5" t="s">
        <v>39</v>
      </c>
      <c r="T5" t="s">
        <v>39</v>
      </c>
    </row>
    <row r="6" spans="1:27" x14ac:dyDescent="0.25">
      <c r="A6" s="5" t="s">
        <v>8</v>
      </c>
      <c r="B6" s="5" t="s">
        <v>9</v>
      </c>
      <c r="C6" s="5" t="s">
        <v>10</v>
      </c>
      <c r="D6" s="4"/>
      <c r="E6" s="4"/>
      <c r="G6" s="4"/>
      <c r="H6" s="4"/>
      <c r="J6" s="4"/>
      <c r="N6" s="4"/>
    </row>
    <row r="7" spans="1:27" x14ac:dyDescent="0.25">
      <c r="A7" s="4" t="s">
        <v>11</v>
      </c>
      <c r="B7" s="4" t="s">
        <v>12</v>
      </c>
      <c r="C7" s="4" t="s">
        <v>13</v>
      </c>
      <c r="D7" s="4"/>
      <c r="E7" s="4"/>
      <c r="F7">
        <v>1.0383060675109497E-2</v>
      </c>
      <c r="G7" s="4">
        <v>1.3792000000000001E-4</v>
      </c>
      <c r="H7" s="4">
        <v>2.4670329762132445E-2</v>
      </c>
      <c r="I7">
        <v>5.8629234314611371E-4</v>
      </c>
      <c r="J7">
        <v>1.8131283692201553E-3</v>
      </c>
      <c r="K7">
        <v>0.82367851212757259</v>
      </c>
      <c r="L7">
        <v>2.4715611456114896E-3</v>
      </c>
      <c r="M7">
        <v>4.3500635364187032E-3</v>
      </c>
      <c r="N7" s="4">
        <v>1.606081386816168E-4</v>
      </c>
      <c r="O7">
        <v>5.07785846428002E-6</v>
      </c>
      <c r="P7">
        <v>2.1723678566187322E-6</v>
      </c>
      <c r="Q7">
        <v>9.3248681293119952E-3</v>
      </c>
      <c r="R7">
        <v>1.9774692347805552E-3</v>
      </c>
      <c r="S7">
        <v>2.7349249775735976E-4</v>
      </c>
      <c r="T7">
        <v>6.7735945806496074E-4</v>
      </c>
    </row>
    <row r="8" spans="1:27" x14ac:dyDescent="0.25">
      <c r="A8" s="4" t="s">
        <v>14</v>
      </c>
      <c r="B8" s="4" t="s">
        <v>15</v>
      </c>
      <c r="C8" s="4" t="s">
        <v>16</v>
      </c>
      <c r="D8" s="4"/>
      <c r="E8" s="4"/>
      <c r="F8">
        <v>2.8994513667641728</v>
      </c>
      <c r="G8" s="4">
        <v>8.9999999999999993E-3</v>
      </c>
      <c r="H8" s="4">
        <v>2.91</v>
      </c>
      <c r="I8">
        <v>0.21042848260500588</v>
      </c>
      <c r="J8" s="4">
        <v>0.88400000000000001</v>
      </c>
      <c r="K8">
        <v>308.86690433326913</v>
      </c>
      <c r="L8">
        <v>0.81654675048260195</v>
      </c>
      <c r="M8">
        <v>1.1584529128085814</v>
      </c>
      <c r="N8" s="4">
        <v>5.3323785808854524E-2</v>
      </c>
      <c r="O8">
        <v>1.3512832393220771E-3</v>
      </c>
      <c r="P8">
        <v>4.2018938695902289E-4</v>
      </c>
      <c r="Q8">
        <v>2.6</v>
      </c>
      <c r="R8">
        <v>0.70921348835187459</v>
      </c>
      <c r="S8">
        <v>8.9999999999999993E-3</v>
      </c>
      <c r="T8" s="23">
        <v>0.106</v>
      </c>
    </row>
    <row r="9" spans="1:27" x14ac:dyDescent="0.25">
      <c r="A9" s="4" t="s">
        <v>40</v>
      </c>
      <c r="B9" s="4" t="s">
        <v>41</v>
      </c>
      <c r="C9" s="4" t="s">
        <v>17</v>
      </c>
      <c r="D9" s="4"/>
      <c r="E9" s="4"/>
      <c r="F9">
        <v>8.0210743427563624E-2</v>
      </c>
      <c r="G9" s="4">
        <v>1.3930744E-2</v>
      </c>
      <c r="H9" s="4">
        <v>4.4709808977035284</v>
      </c>
      <c r="I9">
        <v>4.2263562369296501E-2</v>
      </c>
      <c r="J9" s="4">
        <v>0.11340538433806945</v>
      </c>
      <c r="K9">
        <v>70.065199038536448</v>
      </c>
      <c r="L9">
        <v>0.25014581957826293</v>
      </c>
      <c r="M9">
        <v>0.63833956124835467</v>
      </c>
      <c r="N9" s="4">
        <v>1.3806990983295617E-2</v>
      </c>
      <c r="O9">
        <v>1.1117168736433456E-3</v>
      </c>
      <c r="P9">
        <v>3.3075153587319175E-4</v>
      </c>
      <c r="Q9">
        <v>9.4158278578635812</v>
      </c>
      <c r="R9">
        <v>0.278263708576585</v>
      </c>
      <c r="S9">
        <v>3.3355359734502814E-2</v>
      </c>
      <c r="T9">
        <v>8.858188339997089E-2</v>
      </c>
    </row>
    <row r="10" spans="1:27" x14ac:dyDescent="0.25">
      <c r="A10" s="4" t="s">
        <v>42</v>
      </c>
      <c r="B10" s="4" t="s">
        <v>43</v>
      </c>
      <c r="C10" s="4" t="s">
        <v>17</v>
      </c>
      <c r="D10" s="4"/>
      <c r="E10" s="4"/>
      <c r="F10">
        <v>1723.5923892186913</v>
      </c>
      <c r="G10" s="4">
        <v>26.44341309</v>
      </c>
      <c r="H10" s="4">
        <v>6665.9879821274826</v>
      </c>
      <c r="I10">
        <v>99.211738066858487</v>
      </c>
      <c r="J10" s="4">
        <v>251.28378305541838</v>
      </c>
      <c r="K10">
        <v>137989.6849646116</v>
      </c>
      <c r="L10">
        <v>466.7218985513432</v>
      </c>
      <c r="M10">
        <v>2216.615863814633</v>
      </c>
      <c r="N10" s="4">
        <v>11.488046925367673</v>
      </c>
      <c r="O10">
        <v>2.6864710036334105</v>
      </c>
      <c r="P10">
        <v>0.64574543137277018</v>
      </c>
      <c r="Q10">
        <v>11293.815986484664</v>
      </c>
      <c r="R10">
        <v>977.06712577532642</v>
      </c>
      <c r="S10">
        <v>85.659508094058353</v>
      </c>
      <c r="T10">
        <v>601.66175881987454</v>
      </c>
    </row>
    <row r="11" spans="1:27" x14ac:dyDescent="0.25">
      <c r="A11" s="4" t="s">
        <v>44</v>
      </c>
      <c r="B11" s="4" t="s">
        <v>45</v>
      </c>
      <c r="C11" s="4" t="s">
        <v>17</v>
      </c>
      <c r="D11" s="4"/>
      <c r="E11" s="4"/>
      <c r="F11">
        <v>4.2260286604301936E-2</v>
      </c>
      <c r="G11" s="4">
        <v>1.29049E-4</v>
      </c>
      <c r="H11" s="4">
        <v>0.43976753563327581</v>
      </c>
      <c r="I11">
        <v>4.4595648709586496E-4</v>
      </c>
      <c r="J11" s="4">
        <v>2.1503342069681226E-3</v>
      </c>
      <c r="K11">
        <v>0.94325663258982662</v>
      </c>
      <c r="L11">
        <v>4.9917180554468589E-3</v>
      </c>
      <c r="M11">
        <v>2.3073608199474746E-3</v>
      </c>
      <c r="N11" s="4">
        <v>6.4785249131359699E-4</v>
      </c>
      <c r="O11">
        <v>7.8263533968454779E-6</v>
      </c>
      <c r="P11">
        <v>4.0781866390510122E-6</v>
      </c>
      <c r="Q11">
        <v>7.4840044701435249E-4</v>
      </c>
      <c r="R11">
        <v>3.2908728735262997E-3</v>
      </c>
      <c r="S11">
        <v>1.8646846757881331E-4</v>
      </c>
      <c r="T11">
        <v>4.7768762548922082E-4</v>
      </c>
    </row>
    <row r="12" spans="1:27" x14ac:dyDescent="0.25">
      <c r="A12" s="4" t="s">
        <v>46</v>
      </c>
      <c r="B12" s="4" t="s">
        <v>47</v>
      </c>
      <c r="C12" s="4" t="s">
        <v>48</v>
      </c>
      <c r="D12" s="4"/>
      <c r="E12" s="4"/>
      <c r="F12">
        <v>42.008928537716912</v>
      </c>
      <c r="G12" s="4">
        <v>0.53110731300000003</v>
      </c>
      <c r="H12" s="4">
        <v>58.060334537212221</v>
      </c>
      <c r="I12">
        <v>1.5030272481646554</v>
      </c>
      <c r="J12" s="4">
        <v>3.8321534207533956</v>
      </c>
      <c r="K12">
        <v>2116.9008611811805</v>
      </c>
      <c r="L12">
        <v>51.927203139903376</v>
      </c>
      <c r="M12">
        <v>13.369485711507268</v>
      </c>
      <c r="N12" s="4">
        <v>0.77306440575714086</v>
      </c>
      <c r="O12">
        <v>1.5776950311669521E-2</v>
      </c>
      <c r="P12">
        <v>5.0645437482857237E-3</v>
      </c>
      <c r="Q12">
        <v>35.184404429305715</v>
      </c>
      <c r="R12">
        <v>9.0952750497080324</v>
      </c>
      <c r="S12">
        <v>0.37552878090781328</v>
      </c>
      <c r="T12">
        <v>2.5208723154442851</v>
      </c>
    </row>
    <row r="13" spans="1:27" x14ac:dyDescent="0.25">
      <c r="A13" s="4" t="s">
        <v>18</v>
      </c>
      <c r="B13" s="4" t="s">
        <v>19</v>
      </c>
      <c r="C13" s="4" t="s">
        <v>20</v>
      </c>
      <c r="D13" s="4"/>
      <c r="E13" s="4"/>
      <c r="F13">
        <v>5.4881411652578814E-3</v>
      </c>
      <c r="G13" s="4">
        <v>1.7357000000000001E-4</v>
      </c>
      <c r="H13" s="4">
        <v>0.18324820083654622</v>
      </c>
      <c r="I13">
        <v>4.7059978727291335E-4</v>
      </c>
      <c r="J13" s="4">
        <v>1.2493390371103293E-3</v>
      </c>
      <c r="K13">
        <v>0.94104887380615754</v>
      </c>
      <c r="L13">
        <v>2.9193714592875993E-3</v>
      </c>
      <c r="M13">
        <v>3.6855529726857713E-3</v>
      </c>
      <c r="N13" s="4">
        <v>2.41567851778231E-4</v>
      </c>
      <c r="O13">
        <v>9.4491850390688423E-5</v>
      </c>
      <c r="P13">
        <v>4.5202633178546363E-6</v>
      </c>
      <c r="Q13">
        <v>0.1572833110349254</v>
      </c>
      <c r="R13">
        <v>1.5723196573492761E-3</v>
      </c>
      <c r="S13">
        <v>2.563473456300841E-4</v>
      </c>
      <c r="T13">
        <v>8.7642796502516919E-4</v>
      </c>
    </row>
    <row r="14" spans="1:27" x14ac:dyDescent="0.25">
      <c r="A14" s="4" t="s">
        <v>21</v>
      </c>
      <c r="B14" s="4" t="s">
        <v>22</v>
      </c>
      <c r="C14" s="4" t="s">
        <v>17</v>
      </c>
      <c r="D14" s="4"/>
      <c r="E14" s="4"/>
      <c r="F14">
        <v>9.543617802311072</v>
      </c>
      <c r="G14" s="4">
        <v>3.2382651999999998E-2</v>
      </c>
      <c r="H14" s="4">
        <v>4.8783986487785116</v>
      </c>
      <c r="I14">
        <v>0.11207914728854598</v>
      </c>
      <c r="J14" s="4">
        <v>0.35329426676073517</v>
      </c>
      <c r="K14">
        <v>187.04605765597492</v>
      </c>
      <c r="L14">
        <v>0.76376006109995687</v>
      </c>
      <c r="M14">
        <v>0.65880114074370899</v>
      </c>
      <c r="N14" s="4">
        <v>5.6337467321904686E-2</v>
      </c>
      <c r="O14">
        <v>1.389076928998255E-3</v>
      </c>
      <c r="P14">
        <v>9.2473498133378352E-4</v>
      </c>
      <c r="Q14">
        <v>10.176731919436641</v>
      </c>
      <c r="R14">
        <v>0.84311715807265819</v>
      </c>
      <c r="S14">
        <v>3.2089036169751811E-2</v>
      </c>
      <c r="T14">
        <v>0.17550947688739932</v>
      </c>
    </row>
    <row r="15" spans="1:27" x14ac:dyDescent="0.25">
      <c r="A15" s="4" t="s">
        <v>49</v>
      </c>
      <c r="B15" s="4" t="s">
        <v>50</v>
      </c>
      <c r="C15" s="4" t="s">
        <v>51</v>
      </c>
      <c r="D15" s="4"/>
      <c r="E15" s="4"/>
      <c r="F15">
        <v>2.8311312778081846E-4</v>
      </c>
      <c r="G15" s="16">
        <v>9.9757199999999995E-8</v>
      </c>
      <c r="H15" s="4">
        <v>1.0130592689967185E-5</v>
      </c>
      <c r="I15">
        <v>4.3807009577808174E-7</v>
      </c>
      <c r="J15" s="4">
        <v>1.6832125533959504E-6</v>
      </c>
      <c r="K15">
        <v>1.4150984815835049E-3</v>
      </c>
      <c r="L15">
        <v>-5.2320597750588662E-7</v>
      </c>
      <c r="M15">
        <v>1.4674131875094007E-6</v>
      </c>
      <c r="N15" s="4">
        <v>-7.4162659964855764E-9</v>
      </c>
      <c r="O15">
        <v>-2.8512439646706104E-9</v>
      </c>
      <c r="P15">
        <v>4.1466865597949666E-9</v>
      </c>
      <c r="Q15">
        <v>-1.0112690460404332E-4</v>
      </c>
      <c r="R15">
        <v>7.3846569840972909E-7</v>
      </c>
      <c r="S15">
        <v>3.7503459835279742E-8</v>
      </c>
      <c r="T15">
        <v>1.0358713959670552E-6</v>
      </c>
    </row>
    <row r="16" spans="1:27" x14ac:dyDescent="0.25">
      <c r="A16" s="4" t="s">
        <v>23</v>
      </c>
      <c r="B16" s="4" t="s">
        <v>24</v>
      </c>
      <c r="C16" s="4" t="s">
        <v>25</v>
      </c>
      <c r="D16" s="4"/>
      <c r="E16" s="4"/>
      <c r="F16">
        <v>4.7491133008583618E-8</v>
      </c>
      <c r="G16" s="16">
        <v>5.3083300000000004E-10</v>
      </c>
      <c r="H16" s="4">
        <v>2.9776320834192367E-7</v>
      </c>
      <c r="I16">
        <v>2.3866604950120474E-9</v>
      </c>
      <c r="J16" s="4">
        <v>6.8254779741335586E-9</v>
      </c>
      <c r="K16">
        <v>3.118187450896462E-6</v>
      </c>
      <c r="L16">
        <v>4.705669684859187E-8</v>
      </c>
      <c r="M16">
        <v>4.7276243035079973E-9</v>
      </c>
      <c r="N16" s="4">
        <v>9.3049339157988722E-10</v>
      </c>
      <c r="O16">
        <v>2.1334319966761102E-11</v>
      </c>
      <c r="P16">
        <v>6.7960633644738601E-12</v>
      </c>
      <c r="Q16">
        <v>1.0950677104341296E-7</v>
      </c>
      <c r="R16">
        <v>7.8918166977570401E-9</v>
      </c>
      <c r="S16">
        <v>2.4076734786112514E-10</v>
      </c>
      <c r="T16">
        <v>2.6870866809722612E-9</v>
      </c>
    </row>
    <row r="17" spans="1:20" x14ac:dyDescent="0.25">
      <c r="A17" s="4" t="s">
        <v>52</v>
      </c>
      <c r="B17" s="4" t="s">
        <v>53</v>
      </c>
      <c r="C17" s="4" t="s">
        <v>54</v>
      </c>
      <c r="D17" s="4"/>
      <c r="E17" s="4"/>
      <c r="F17">
        <v>7.0996450388726253E-4</v>
      </c>
      <c r="G17" s="16">
        <v>1.15145E-5</v>
      </c>
      <c r="H17" s="4">
        <v>3.6686578753279699E-3</v>
      </c>
      <c r="I17">
        <v>4.5367182985285244E-5</v>
      </c>
      <c r="J17" s="4">
        <v>1.499809440395E-4</v>
      </c>
      <c r="K17">
        <v>6.9201784372860675E-2</v>
      </c>
      <c r="L17">
        <v>3.409151544241124E-4</v>
      </c>
      <c r="M17">
        <v>2.3859368594314451E-4</v>
      </c>
      <c r="N17" s="4">
        <v>3.329748047355755E-5</v>
      </c>
      <c r="O17">
        <v>3.7661156600309649E-7</v>
      </c>
      <c r="P17">
        <v>1.8402446061655736E-7</v>
      </c>
      <c r="Q17">
        <v>1.7190397565609414E-3</v>
      </c>
      <c r="R17">
        <v>1.650321717141514E-4</v>
      </c>
      <c r="S17">
        <v>1.5664107410331129E-5</v>
      </c>
      <c r="T17">
        <v>6.3795581860435317E-5</v>
      </c>
    </row>
    <row r="18" spans="1:20" x14ac:dyDescent="0.25">
      <c r="A18" s="4" t="s">
        <v>27</v>
      </c>
      <c r="B18" s="4" t="s">
        <v>28</v>
      </c>
      <c r="C18" s="4" t="s">
        <v>26</v>
      </c>
      <c r="D18" s="4"/>
      <c r="E18" s="4"/>
      <c r="F18">
        <v>38.158155127369724</v>
      </c>
      <c r="G18">
        <v>0.58089999999999997</v>
      </c>
      <c r="H18">
        <v>88.328709511261749</v>
      </c>
      <c r="I18">
        <v>1.6205220341718212</v>
      </c>
      <c r="J18">
        <v>4.4648494874002109</v>
      </c>
      <c r="K18">
        <v>2439.3320388250308</v>
      </c>
      <c r="L18">
        <v>55.424999999999997</v>
      </c>
      <c r="M18">
        <v>15.96590433484101</v>
      </c>
      <c r="N18">
        <v>20.754735020608788</v>
      </c>
      <c r="O18">
        <v>1.8655816253120516E-2</v>
      </c>
      <c r="P18">
        <v>5.9360296425751734E-3</v>
      </c>
      <c r="Q18">
        <v>37.113617005195202</v>
      </c>
      <c r="R18">
        <v>9.9806718726759414</v>
      </c>
      <c r="S18">
        <v>0.54730086335060024</v>
      </c>
      <c r="T18">
        <v>2.9851940019889667</v>
      </c>
    </row>
    <row r="22" spans="1:20" x14ac:dyDescent="0.25">
      <c r="I22" s="22"/>
    </row>
    <row r="23" spans="1:20" x14ac:dyDescent="0.25">
      <c r="I23" s="22"/>
    </row>
    <row r="24" spans="1:20" x14ac:dyDescent="0.25">
      <c r="I2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0C6E5-788A-48F4-BE61-A6668070EF4F}">
  <sheetPr codeName="Sheet3"/>
  <dimension ref="A1:V18"/>
  <sheetViews>
    <sheetView topLeftCell="L1" workbookViewId="0">
      <selection activeCell="M26" sqref="M26"/>
    </sheetView>
  </sheetViews>
  <sheetFormatPr defaultRowHeight="15" x14ac:dyDescent="0.25"/>
  <cols>
    <col min="1" max="1" width="16.140625" customWidth="1"/>
    <col min="7" max="7" width="12.7109375" customWidth="1"/>
    <col min="13" max="13" width="17.28515625" bestFit="1" customWidth="1"/>
    <col min="14" max="14" width="16.85546875" customWidth="1"/>
    <col min="15" max="15" width="16" customWidth="1"/>
    <col min="16" max="16" width="14.140625" customWidth="1"/>
    <col min="17" max="17" width="13.28515625" customWidth="1"/>
    <col min="18" max="18" width="14.42578125" customWidth="1"/>
    <col min="19" max="19" width="12" customWidth="1"/>
    <col min="20" max="20" width="14" customWidth="1"/>
    <col min="21" max="21" width="17.28515625" customWidth="1"/>
  </cols>
  <sheetData>
    <row r="1" spans="1:22" ht="21" x14ac:dyDescent="0.35">
      <c r="A1" s="7" t="s">
        <v>75</v>
      </c>
      <c r="M1" s="8" t="s">
        <v>74</v>
      </c>
      <c r="N1" s="6" t="s">
        <v>0</v>
      </c>
      <c r="O1" s="6" t="s">
        <v>1</v>
      </c>
      <c r="P1" s="6" t="s">
        <v>2</v>
      </c>
      <c r="Q1" s="6" t="s">
        <v>3</v>
      </c>
      <c r="R1" s="6" t="s">
        <v>4</v>
      </c>
      <c r="S1" s="6" t="s">
        <v>5</v>
      </c>
      <c r="T1" s="6" t="s">
        <v>6</v>
      </c>
      <c r="U1" s="6" t="s">
        <v>7</v>
      </c>
      <c r="V1" s="6"/>
    </row>
    <row r="2" spans="1:22" ht="18.75" x14ac:dyDescent="0.3">
      <c r="D2" s="6" t="s">
        <v>0</v>
      </c>
      <c r="E2" s="6" t="s">
        <v>1</v>
      </c>
      <c r="F2" s="6" t="s">
        <v>2</v>
      </c>
      <c r="G2" s="6" t="s">
        <v>3</v>
      </c>
      <c r="H2" s="6" t="s">
        <v>4</v>
      </c>
      <c r="I2" s="6" t="s">
        <v>5</v>
      </c>
      <c r="J2" s="6" t="s">
        <v>6</v>
      </c>
      <c r="K2" s="6" t="s">
        <v>7</v>
      </c>
      <c r="N2" s="3">
        <v>2403.484589785528</v>
      </c>
      <c r="O2" s="3">
        <v>160.59559035990972</v>
      </c>
      <c r="P2" s="3">
        <v>348.00876456223369</v>
      </c>
      <c r="Q2" s="3">
        <v>153.60000000000028</v>
      </c>
      <c r="R2" s="3">
        <v>6.8787145478512217</v>
      </c>
      <c r="S2" s="3">
        <v>9.5127000177344474</v>
      </c>
      <c r="T2" s="3">
        <v>805.20658118299707</v>
      </c>
      <c r="U2" s="3">
        <v>339.96600000000063</v>
      </c>
      <c r="V2" s="6"/>
    </row>
    <row r="3" spans="1:22" x14ac:dyDescent="0.25">
      <c r="A3" s="5" t="s">
        <v>9</v>
      </c>
      <c r="B3" s="5" t="s">
        <v>10</v>
      </c>
      <c r="D3" s="1" t="s">
        <v>56</v>
      </c>
      <c r="E3" s="1" t="s">
        <v>56</v>
      </c>
      <c r="F3" s="1" t="s">
        <v>56</v>
      </c>
      <c r="G3" s="1" t="s">
        <v>56</v>
      </c>
      <c r="H3" s="1" t="s">
        <v>56</v>
      </c>
      <c r="I3" s="1" t="s">
        <v>56</v>
      </c>
      <c r="J3" s="1" t="s">
        <v>56</v>
      </c>
      <c r="K3" s="1" t="s">
        <v>56</v>
      </c>
    </row>
    <row r="4" spans="1:22" x14ac:dyDescent="0.25">
      <c r="A4" s="4" t="s">
        <v>12</v>
      </c>
      <c r="B4" s="4" t="s">
        <v>13</v>
      </c>
      <c r="D4">
        <f>Material_Inventory!T7*1654 + Material_Inventory!J7*72 + Material_Inventory!S7*288 + Material_Inventory!H7*0.15 + Material_Inventory!O7*43.2</f>
        <v>1.3335835385273924</v>
      </c>
      <c r="E4">
        <f>Material_Inventory!J7*360 + Material_Inventory!S7*703 + Material_Inventory!G7*1193 + Material_Inventory!Q7*100 + Material_Inventory!H7*0.15 + Material_Inventory!O7*133</f>
        <v>1.9463927164139485</v>
      </c>
      <c r="F4">
        <f>Material_Inventory!J7* 360 + Material_Inventory!S7*703 + Material_Inventory!G7* 1193 + Material_Inventory!Q7*100 + Material_Inventory!H7* 0.15 + Material_Inventory!O7*133</f>
        <v>1.9463927164139485</v>
      </c>
      <c r="G4">
        <f>Material_Inventory!J7*360 + Material_Inventory!S7*703 + Material_Inventory!G7*1193 + Material_Inventory!Q7*100 + Material_Inventory!H7*0.15 + Material_Inventory!O7*133</f>
        <v>1.9463927164139485</v>
      </c>
      <c r="H4">
        <f>Material_Inventory!F7*1000 + Material_Inventory!R7*542.5 + Material_Inventory!N7*200 + Material_Inventory!H7*0.15 + Material_Inventory!O7*50</f>
        <v>11.491913805101806</v>
      </c>
      <c r="I4">
        <f>Material_Inventory!F7*1000 + Material_Inventory!R7*542.5 + Material_Inventory!N7*200 + Material_Inventory!H7*0.15 + Material_Inventory!O7*50</f>
        <v>11.491913805101806</v>
      </c>
      <c r="J4">
        <f>Material_Inventory!J7*360 + Material_Inventory!S7*703 + Material_Inventory!G7*1193 + Material_Inventory!Q7*100 + Material_Inventory!H7*0.15 + Material_Inventory!O7*133</f>
        <v>1.9463927164139485</v>
      </c>
      <c r="K4">
        <f>Material_Inventory!J7*360 + Material_Inventory!S7*703 + Material_Inventory!G7*1193 + Material_Inventory!Q7*100 + Material_Inventory!H7*0.15 + Material_Inventory!O7*133</f>
        <v>1.9463927164139485</v>
      </c>
      <c r="N4">
        <f>D4*$N$2*1.05</f>
        <v>3365.5098582443552</v>
      </c>
      <c r="O4">
        <f>E4*$O$2*1.05</f>
        <v>328.21119173296273</v>
      </c>
      <c r="P4">
        <f>F4*$P$2*1.05</f>
        <v>711.22981082175579</v>
      </c>
      <c r="Q4">
        <f>G4*$Q$2*1.05</f>
        <v>313.9142173032422</v>
      </c>
      <c r="R4">
        <f>H4*$R$2*1.05</f>
        <v>83.002074407496394</v>
      </c>
      <c r="S4">
        <f>I4*$S$2*1.05</f>
        <v>114.78508509047442</v>
      </c>
      <c r="T4">
        <f>J4*$T$2*1.05</f>
        <v>1645.6106360643205</v>
      </c>
      <c r="U4">
        <f>K4*$U$2*1.05</f>
        <v>694.79271353980494</v>
      </c>
    </row>
    <row r="5" spans="1:22" x14ac:dyDescent="0.25">
      <c r="A5" s="4" t="s">
        <v>15</v>
      </c>
      <c r="B5" s="4" t="s">
        <v>16</v>
      </c>
      <c r="D5">
        <f>Material_Inventory!T8*1654 + Material_Inventory!J8*72 + Material_Inventory!S8*288 + Material_Inventory!H8*0.15 + Material_Inventory!O8*43.2</f>
        <v>242.05887543593869</v>
      </c>
      <c r="E5">
        <f>Material_Inventory!J8*360 + Material_Inventory!S8*703 + Material_Inventory!G8*1193 + Material_Inventory!Q8*100 + Material_Inventory!H8*0.15 + Material_Inventory!O8*133</f>
        <v>595.92022067082996</v>
      </c>
      <c r="F5">
        <f>Material_Inventory!J8* 360 + Material_Inventory!S8*703 + Material_Inventory!G8* 1193 + Material_Inventory!Q8*100 + Material_Inventory!H8* 0.15 + Material_Inventory!O8*133</f>
        <v>595.92022067082996</v>
      </c>
      <c r="G5">
        <f>Material_Inventory!J8*360 + Material_Inventory!S8*703 + Material_Inventory!G8*1193 + Material_Inventory!Q8*100 + Material_Inventory!H8*0.15 + Material_Inventory!O8*133</f>
        <v>595.92022067082996</v>
      </c>
      <c r="H5">
        <f>Material_Inventory!F8*1000 + Material_Inventory!R8*542.5 + Material_Inventory!N8*200 + Material_Inventory!H8*0.15 + Material_Inventory!O8*50</f>
        <v>3295.3685055188012</v>
      </c>
      <c r="I5">
        <f>Material_Inventory!F8*1000 + Material_Inventory!R8*542.5 + Material_Inventory!N8*200 + Material_Inventory!H8*0.15 + Material_Inventory!O8*50</f>
        <v>3295.3685055188012</v>
      </c>
      <c r="J5">
        <f>Material_Inventory!J8*360 + Material_Inventory!S8*703 + Material_Inventory!G8*1193 + Material_Inventory!Q8*100 + Material_Inventory!H8*0.15 + Material_Inventory!O8*133</f>
        <v>595.92022067082996</v>
      </c>
      <c r="K5">
        <f>Material_Inventory!J8*360 + Material_Inventory!S8*703 + Material_Inventory!G8*1193 + Material_Inventory!Q8*100 + Material_Inventory!H8*0.15 + Material_Inventory!O8*133</f>
        <v>595.92022067082996</v>
      </c>
      <c r="N5">
        <f t="shared" ref="N5:N15" si="0">D5*$N$2*1.05</f>
        <v>610874.01577764796</v>
      </c>
      <c r="O5">
        <f t="shared" ref="O5:O15" si="1">E5*$O$2*1.05</f>
        <v>100487.26762834159</v>
      </c>
      <c r="P5">
        <f t="shared" ref="P5:P15" si="2">F5*$P$2*1.05</f>
        <v>217754.73276197468</v>
      </c>
      <c r="Q5">
        <f t="shared" ref="Q5:Q15" si="3">G5*$Q$2*1.05</f>
        <v>96110.013189791629</v>
      </c>
      <c r="R5">
        <f t="shared" ref="R5:R15" si="4">H5*$R$2*1.05</f>
        <v>23801.294243415065</v>
      </c>
      <c r="S5">
        <f t="shared" ref="S5:S15" si="5">I5*$S$2*1.05</f>
        <v>32915.244642934755</v>
      </c>
      <c r="T5">
        <f t="shared" ref="T5:T15" si="6">J5*$T$2*1.05</f>
        <v>503830.82772138499</v>
      </c>
      <c r="U5">
        <f t="shared" ref="U5:U15" si="7">K5*$U$2*1.05</f>
        <v>212722.24442760873</v>
      </c>
      <c r="V5">
        <f>SUM(N5:U5)</f>
        <v>1798495.6403930995</v>
      </c>
    </row>
    <row r="6" spans="1:22" x14ac:dyDescent="0.25">
      <c r="A6" s="4" t="s">
        <v>41</v>
      </c>
      <c r="B6" s="4" t="s">
        <v>17</v>
      </c>
      <c r="D6">
        <f>Material_Inventory!T9*1654 + Material_Inventory!J9*72 + Material_Inventory!S9*288 + Material_Inventory!H9*0.15 + Material_Inventory!O9*43.2</f>
        <v>165.00463972302657</v>
      </c>
      <c r="E6">
        <f>Material_Inventory!J9*360 + Material_Inventory!S9*703 + Material_Inventory!G9*1193 + Material_Inventory!Q9*100 + Material_Inventory!H9*0.15 + Material_Inventory!O9*133</f>
        <v>1023.2954251122687</v>
      </c>
      <c r="F6">
        <f>Material_Inventory!J9* 360 + Material_Inventory!S9*703 + Material_Inventory!G9* 1193 + Material_Inventory!Q9*100 + Material_Inventory!H9* 0.15 + Material_Inventory!O9*133</f>
        <v>1023.2954251122687</v>
      </c>
      <c r="G6">
        <f>Material_Inventory!J9*360 + Material_Inventory!S9*703 + Material_Inventory!G9*1193 + Material_Inventory!Q9*100 + Material_Inventory!H9*0.15 + Material_Inventory!O9*133</f>
        <v>1023.2954251122687</v>
      </c>
      <c r="H6">
        <f>Material_Inventory!F9*1000 + Material_Inventory!R9*542.5 + Material_Inventory!N9*200 + Material_Inventory!H9*0.15 + Material_Inventory!O9*50</f>
        <v>234.65643650535782</v>
      </c>
      <c r="I6">
        <f>Material_Inventory!F9*1000 + Material_Inventory!R9*542.5 + Material_Inventory!N9*200 + Material_Inventory!H9*0.15 + Material_Inventory!O9*50</f>
        <v>234.65643650535782</v>
      </c>
      <c r="J6">
        <f>Material_Inventory!J9*360 + Material_Inventory!S9*703 + Material_Inventory!G9*1193 + Material_Inventory!Q9*100 + Material_Inventory!H9*0.15 + Material_Inventory!O9*133</f>
        <v>1023.2954251122687</v>
      </c>
      <c r="K6">
        <f>Material_Inventory!J9*360 + Material_Inventory!S9*703 + Material_Inventory!G9*1193 + Material_Inventory!Q9*100 + Material_Inventory!H9*0.15 + Material_Inventory!O9*133</f>
        <v>1023.2954251122687</v>
      </c>
      <c r="N6">
        <f t="shared" si="0"/>
        <v>416415.41425827774</v>
      </c>
      <c r="O6">
        <f t="shared" si="1"/>
        <v>172553.56955392455</v>
      </c>
      <c r="P6">
        <f t="shared" si="2"/>
        <v>373921.5655092817</v>
      </c>
      <c r="Q6">
        <f t="shared" si="3"/>
        <v>165037.08616210701</v>
      </c>
      <c r="R6">
        <f t="shared" si="4"/>
        <v>1694.841375713148</v>
      </c>
      <c r="S6">
        <f t="shared" si="5"/>
        <v>2343.8271020913207</v>
      </c>
      <c r="T6">
        <f t="shared" si="6"/>
        <v>865162.42133459414</v>
      </c>
      <c r="U6">
        <f t="shared" si="7"/>
        <v>365279.9351184041</v>
      </c>
    </row>
    <row r="7" spans="1:22" ht="21.6" customHeight="1" x14ac:dyDescent="0.25">
      <c r="A7" s="4" t="s">
        <v>43</v>
      </c>
      <c r="B7" s="4" t="s">
        <v>17</v>
      </c>
      <c r="D7">
        <f>Material_Inventory!T10*1654 + Material_Inventory!J10*72 + Material_Inventory!S10*288 + Material_Inventory!H10*0.15 + Material_Inventory!O10*43.2</f>
        <v>1039026.8735438274</v>
      </c>
      <c r="E7">
        <f>Material_Inventory!J10*360 + Material_Inventory!S10*703 + Material_Inventory!G10*1193 + Material_Inventory!Q10*100 + Material_Inventory!H10*0.15 + Material_Inventory!O10*133</f>
        <v>1312966.5853957124</v>
      </c>
      <c r="F7">
        <f>Material_Inventory!J10* 360 + Material_Inventory!S10*703 + Material_Inventory!G10* 1193 + Material_Inventory!Q10*100 + Material_Inventory!H10* 0.15 + Material_Inventory!O10*133</f>
        <v>1312966.5853957124</v>
      </c>
      <c r="G7">
        <f>Material_Inventory!J10*360 + Material_Inventory!S10*703 + Material_Inventory!G10*1193 + Material_Inventory!Q10*100 + Material_Inventory!H10*0.15 + Material_Inventory!O10*133</f>
        <v>1312966.5853957124</v>
      </c>
      <c r="H7">
        <f>Material_Inventory!F10*1000 + Material_Inventory!R10*542.5 + Material_Inventory!N10*200 + Material_Inventory!H10*0.15 + Material_Inventory!O10*50</f>
        <v>2257083.1360843796</v>
      </c>
      <c r="I7">
        <f>Material_Inventory!F10*1000 + Material_Inventory!R10*542.5 + Material_Inventory!N10*200 + Material_Inventory!H10*0.15 + Material_Inventory!O10*50</f>
        <v>2257083.1360843796</v>
      </c>
      <c r="J7">
        <f>Material_Inventory!J10*360 + Material_Inventory!S10*703 + Material_Inventory!G10*1193 + Material_Inventory!Q10*100 + Material_Inventory!H10*0.15 + Material_Inventory!O10*133</f>
        <v>1312966.5853957124</v>
      </c>
      <c r="K7">
        <f>Material_Inventory!J10*360 + Material_Inventory!S10*703 + Material_Inventory!G10*1193 + Material_Inventory!Q10*100 + Material_Inventory!H10*0.15 + Material_Inventory!O10*133</f>
        <v>1312966.5853957124</v>
      </c>
      <c r="N7">
        <f t="shared" si="0"/>
        <v>2622149332.8824067</v>
      </c>
      <c r="O7">
        <f t="shared" si="1"/>
        <v>221399476.09968224</v>
      </c>
      <c r="P7">
        <f t="shared" si="2"/>
        <v>479770073.25980926</v>
      </c>
      <c r="Q7">
        <f t="shared" si="3"/>
        <v>211755250.89262086</v>
      </c>
      <c r="R7">
        <f t="shared" si="4"/>
        <v>16302122.134087944</v>
      </c>
      <c r="S7">
        <f t="shared" si="5"/>
        <v>22544502.528090902</v>
      </c>
      <c r="T7">
        <f t="shared" si="6"/>
        <v>1110069802.2056949</v>
      </c>
      <c r="U7">
        <f t="shared" si="7"/>
        <v>468682198.0791716</v>
      </c>
    </row>
    <row r="8" spans="1:22" x14ac:dyDescent="0.25">
      <c r="A8" s="4" t="s">
        <v>45</v>
      </c>
      <c r="B8" s="4" t="s">
        <v>17</v>
      </c>
      <c r="D8">
        <f>Material_Inventory!T11*1654 + Material_Inventory!J11*72 + Material_Inventory!S11*288 + Material_Inventory!H11*0.15 + Material_Inventory!O11*43.2</f>
        <v>1.0649255429353095</v>
      </c>
      <c r="E8">
        <f>Material_Inventory!J11*360 + Material_Inventory!S11*703 + Material_Inventory!G11*1193 + Material_Inventory!Q11*100 + Material_Inventory!H11*0.15 + Material_Inventory!O11*133</f>
        <v>1.2010091842646371</v>
      </c>
      <c r="F8">
        <f>Material_Inventory!J11* 360 + Material_Inventory!S11*703 + Material_Inventory!G11* 1193 + Material_Inventory!Q11*100 + Material_Inventory!H11* 0.15 + Material_Inventory!O11*133</f>
        <v>1.2010091842646371</v>
      </c>
      <c r="G8">
        <f>Material_Inventory!J11*360 + Material_Inventory!S11*703 + Material_Inventory!G11*1193 + Material_Inventory!Q11*100 + Material_Inventory!H11*0.15 + Material_Inventory!O11*133</f>
        <v>1.2010091842646371</v>
      </c>
      <c r="H8">
        <f>Material_Inventory!F11*1000 + Material_Inventory!R11*542.5 + Material_Inventory!N11*200 + Material_Inventory!H11*0.15 + Material_Inventory!O11*50</f>
        <v>44.241512084467516</v>
      </c>
      <c r="I8">
        <f>Material_Inventory!F11*1000 + Material_Inventory!R11*542.5 + Material_Inventory!N11*200 + Material_Inventory!H11*0.15 + Material_Inventory!O11*50</f>
        <v>44.241512084467516</v>
      </c>
      <c r="J8">
        <f>Material_Inventory!J11*360 + Material_Inventory!S11*703 + Material_Inventory!G11*1193 + Material_Inventory!Q11*100 + Material_Inventory!H11*0.15 + Material_Inventory!O11*133</f>
        <v>1.2010091842646371</v>
      </c>
      <c r="K8">
        <f>Material_Inventory!J11*360 + Material_Inventory!S11*703 + Material_Inventory!G11*1193 + Material_Inventory!Q11*100 + Material_Inventory!H11*0.15 + Material_Inventory!O11*133</f>
        <v>1.2010091842646371</v>
      </c>
      <c r="N8">
        <f t="shared" si="0"/>
        <v>2687.5087382997031</v>
      </c>
      <c r="O8">
        <f t="shared" si="1"/>
        <v>202.52061792338563</v>
      </c>
      <c r="P8">
        <f t="shared" si="2"/>
        <v>438.85980856602407</v>
      </c>
      <c r="Q8">
        <f t="shared" si="3"/>
        <v>193.69876123820103</v>
      </c>
      <c r="R8">
        <f t="shared" si="4"/>
        <v>319.54096943408047</v>
      </c>
      <c r="S8">
        <f t="shared" si="5"/>
        <v>441.8990444300386</v>
      </c>
      <c r="T8">
        <f t="shared" si="6"/>
        <v>1015.413524192664</v>
      </c>
      <c r="U8">
        <f t="shared" si="7"/>
        <v>428.71740275459797</v>
      </c>
    </row>
    <row r="9" spans="1:22" x14ac:dyDescent="0.25">
      <c r="A9" s="4" t="s">
        <v>47</v>
      </c>
      <c r="B9" s="4" t="s">
        <v>48</v>
      </c>
      <c r="D9">
        <f>Material_Inventory!T12*1654 + Material_Inventory!J12*72 + Material_Inventory!S12*288 + Material_Inventory!H12*0.15 + Material_Inventory!O12*43.2</f>
        <v>4562.9807593745882</v>
      </c>
      <c r="E9">
        <f>Material_Inventory!J12*360 + Material_Inventory!S12*703 + Material_Inventory!G12*1193 + Material_Inventory!Q12*100 + Material_Inventory!H12*0.15 + Material_Inventory!O12*133</f>
        <v>5806.4308163610203</v>
      </c>
      <c r="F9">
        <f>Material_Inventory!J12* 360 + Material_Inventory!S12*703 + Material_Inventory!G12* 1193 + Material_Inventory!Q12*100 + Material_Inventory!H12* 0.15 + Material_Inventory!O12*133</f>
        <v>5806.4308163610203</v>
      </c>
      <c r="G9">
        <f>Material_Inventory!J12*360 + Material_Inventory!S12*703 + Material_Inventory!G12*1193 + Material_Inventory!Q12*100 + Material_Inventory!H12*0.15 + Material_Inventory!O12*133</f>
        <v>5806.4308163610203</v>
      </c>
      <c r="H9">
        <f>Material_Inventory!F12*1000 + Material_Inventory!R12*542.5 + Material_Inventory!N12*200 + Material_Inventory!H12*0.15 + Material_Inventory!O12*50</f>
        <v>47107.226031031118</v>
      </c>
      <c r="I9">
        <f>Material_Inventory!F12*1000 + Material_Inventory!R12*542.5 + Material_Inventory!N12*200 + Material_Inventory!H12*0.15 + Material_Inventory!O12*50</f>
        <v>47107.226031031118</v>
      </c>
      <c r="J9">
        <f>Material_Inventory!J12*360 + Material_Inventory!S12*703 + Material_Inventory!G12*1193 + Material_Inventory!Q12*100 + Material_Inventory!H12*0.15 + Material_Inventory!O12*133</f>
        <v>5806.4308163610203</v>
      </c>
      <c r="K9">
        <f>Material_Inventory!J12*360 + Material_Inventory!S12*703 + Material_Inventory!G12*1193 + Material_Inventory!Q12*100 + Material_Inventory!H12*0.15 + Material_Inventory!O12*133</f>
        <v>5806.4308163610203</v>
      </c>
      <c r="N9">
        <f t="shared" si="0"/>
        <v>11515406.635576924</v>
      </c>
      <c r="O9">
        <f t="shared" si="1"/>
        <v>979111.54407934425</v>
      </c>
      <c r="P9">
        <f t="shared" si="2"/>
        <v>2121723.2556637749</v>
      </c>
      <c r="Q9">
        <f t="shared" si="3"/>
        <v>936461.16206270712</v>
      </c>
      <c r="R9">
        <f t="shared" si="4"/>
        <v>340239.01905899803</v>
      </c>
      <c r="S9">
        <f t="shared" si="5"/>
        <v>470522.75539585087</v>
      </c>
      <c r="T9">
        <f t="shared" si="6"/>
        <v>4909145.1218435392</v>
      </c>
      <c r="U9">
        <f t="shared" si="7"/>
        <v>2072688.5118607441</v>
      </c>
    </row>
    <row r="10" spans="1:22" x14ac:dyDescent="0.25">
      <c r="A10" s="4" t="s">
        <v>19</v>
      </c>
      <c r="B10" s="4" t="s">
        <v>20</v>
      </c>
      <c r="D10">
        <f>Material_Inventory!T13*1654 + Material_Inventory!J13*72 + Material_Inventory!S13*288 + Material_Inventory!H13*0.15 + Material_Inventory!O13*43.2</f>
        <v>1.6449615784273977</v>
      </c>
      <c r="E10">
        <f>Material_Inventory!J13*360 + Material_Inventory!S13*703 + Material_Inventory!G13*1193 + Material_Inventory!Q13*100 + Material_Inventory!H13*0.15 + Material_Inventory!O13*133</f>
        <v>16.605428997057651</v>
      </c>
      <c r="F10">
        <f>Material_Inventory!J13* 360 + Material_Inventory!S13*703 + Material_Inventory!G13* 1193 + Material_Inventory!Q13*100 + Material_Inventory!H13* 0.15 + Material_Inventory!O13*133</f>
        <v>16.605428997057651</v>
      </c>
      <c r="G10">
        <f>Material_Inventory!J13*360 + Material_Inventory!S13*703 + Material_Inventory!G13*1193 + Material_Inventory!Q13*100 + Material_Inventory!H13*0.15 + Material_Inventory!O13*133</f>
        <v>16.605428997057651</v>
      </c>
      <c r="H10">
        <f>Material_Inventory!F13*1000 + Material_Inventory!R13*542.5 + Material_Inventory!N13*200 + Material_Inventory!H13*0.15 + Material_Inventory!O13*50</f>
        <v>6.4216499723705267</v>
      </c>
      <c r="I10">
        <f>Material_Inventory!F13*1000 + Material_Inventory!R13*542.5 + Material_Inventory!N13*200 + Material_Inventory!H13*0.15 + Material_Inventory!O13*50</f>
        <v>6.4216499723705267</v>
      </c>
      <c r="J10">
        <f>Material_Inventory!J13*360 + Material_Inventory!S13*703 + Material_Inventory!G13*1193 + Material_Inventory!Q13*100 + Material_Inventory!H13*0.15 + Material_Inventory!O13*133</f>
        <v>16.605428997057651</v>
      </c>
      <c r="K10">
        <f>Material_Inventory!J13*360 + Material_Inventory!S13*703 + Material_Inventory!G13*1193 + Material_Inventory!Q13*100 + Material_Inventory!H13*0.15 + Material_Inventory!O13*133</f>
        <v>16.605428997057651</v>
      </c>
      <c r="N10">
        <f t="shared" si="0"/>
        <v>4151.3217947665053</v>
      </c>
      <c r="O10">
        <f t="shared" si="1"/>
        <v>2800.0966066101391</v>
      </c>
      <c r="P10">
        <f t="shared" si="2"/>
        <v>6067.7765718065202</v>
      </c>
      <c r="Q10">
        <f t="shared" si="3"/>
        <v>2678.1235886454629</v>
      </c>
      <c r="R10">
        <f t="shared" si="4"/>
        <v>46.381331940461223</v>
      </c>
      <c r="S10">
        <f t="shared" si="5"/>
        <v>64.141591296356196</v>
      </c>
      <c r="T10">
        <f t="shared" si="6"/>
        <v>14039.340747387685</v>
      </c>
      <c r="U10">
        <f t="shared" si="7"/>
        <v>5927.5453381343978</v>
      </c>
    </row>
    <row r="11" spans="1:22" x14ac:dyDescent="0.25">
      <c r="A11" s="4" t="s">
        <v>22</v>
      </c>
      <c r="B11" s="4" t="s">
        <v>17</v>
      </c>
      <c r="D11">
        <f>Material_Inventory!T14*1654 + Material_Inventory!J14*72 + Material_Inventory!S14*288 + Material_Inventory!H14*0.15 + Material_Inventory!O14*43.2</f>
        <v>325.76327231606945</v>
      </c>
      <c r="E11">
        <f>Material_Inventory!J14*360 + Material_Inventory!S14*703 + Material_Inventory!G14*1193 + Material_Inventory!Q14*100 + Material_Inventory!H14*0.15 + Material_Inventory!O14*133</f>
        <v>1206.9667312697377</v>
      </c>
      <c r="F11">
        <f>Material_Inventory!J14* 360 + Material_Inventory!S14*703 + Material_Inventory!G14* 1193 + Material_Inventory!Q14*100 + Material_Inventory!H14* 0.15 + Material_Inventory!O14*133</f>
        <v>1206.9667312697377</v>
      </c>
      <c r="G11">
        <f>Material_Inventory!J14*360 + Material_Inventory!S14*703 + Material_Inventory!G14*1193 + Material_Inventory!Q14*100 + Material_Inventory!H14*0.15 + Material_Inventory!O14*133</f>
        <v>1206.9667312697377</v>
      </c>
      <c r="H11">
        <f>Material_Inventory!F14*1000 + Material_Inventory!R14*542.5 + Material_Inventory!N14*200 + Material_Inventory!H14*0.15 + Material_Inventory!O14*50</f>
        <v>10013.077567673636</v>
      </c>
      <c r="I11">
        <f>Material_Inventory!F14*1000 + Material_Inventory!R14*542.5 + Material_Inventory!N14*200 + Material_Inventory!H14*0.15 + Material_Inventory!O14*50</f>
        <v>10013.077567673636</v>
      </c>
      <c r="J11">
        <f>Material_Inventory!J14*360 + Material_Inventory!S14*703 + Material_Inventory!G14*1193 + Material_Inventory!Q14*100 + Material_Inventory!H14*0.15 + Material_Inventory!O14*133</f>
        <v>1206.9667312697377</v>
      </c>
      <c r="K11">
        <f>Material_Inventory!J14*360 + Material_Inventory!S14*703 + Material_Inventory!G14*1193 + Material_Inventory!Q14*100 + Material_Inventory!H14*0.15 + Material_Inventory!O14*133</f>
        <v>1206.9667312697377</v>
      </c>
      <c r="N11">
        <f t="shared" si="0"/>
        <v>822115.35517626849</v>
      </c>
      <c r="O11">
        <f t="shared" si="1"/>
        <v>203525.21149068576</v>
      </c>
      <c r="P11">
        <f t="shared" si="2"/>
        <v>441036.75106774393</v>
      </c>
      <c r="Q11">
        <f t="shared" si="3"/>
        <v>194659.59441918365</v>
      </c>
      <c r="R11">
        <f t="shared" si="4"/>
        <v>72320.957450195332</v>
      </c>
      <c r="S11">
        <f t="shared" si="5"/>
        <v>100013.97331336467</v>
      </c>
      <c r="T11">
        <f t="shared" si="6"/>
        <v>1020450.4330516888</v>
      </c>
      <c r="U11">
        <f t="shared" si="7"/>
        <v>430844.03435099084</v>
      </c>
    </row>
    <row r="12" spans="1:22" x14ac:dyDescent="0.25">
      <c r="A12" s="4" t="s">
        <v>50</v>
      </c>
      <c r="B12" s="4" t="s">
        <v>51</v>
      </c>
      <c r="D12">
        <f>Material_Inventory!T15*1654 + Material_Inventory!J15*72 + Material_Inventory!S15*288 + Material_Inventory!H15*0.15 + Material_Inventory!O15*43.2</f>
        <v>1.8467200043707998E-3</v>
      </c>
      <c r="E12">
        <f>Material_Inventory!J15*360 + Material_Inventory!S15*703 + Material_Inventory!G15*1193 + Material_Inventory!Q15*100 + Material_Inventory!H15*0.15 + Material_Inventory!O15*133</f>
        <v>-9.3602182958613927E-3</v>
      </c>
      <c r="F12">
        <f>Material_Inventory!J15* 360 + Material_Inventory!S15*703 + Material_Inventory!G15* 1193 + Material_Inventory!Q15*100 + Material_Inventory!H15* 0.15 + Material_Inventory!O15*133</f>
        <v>-9.3602182958613927E-3</v>
      </c>
      <c r="G12">
        <f>Material_Inventory!J15*360 + Material_Inventory!S15*703 + Material_Inventory!G15*1193 + Material_Inventory!Q15*100 + Material_Inventory!H15*0.15 + Material_Inventory!O15*133</f>
        <v>-9.3602182958613927E-3</v>
      </c>
      <c r="H12">
        <f>Material_Inventory!F15*1000 + Material_Inventory!R15*542.5 + Material_Inventory!N15*200 + Material_Inventory!H15*0.15 + Material_Inventory!O15*50</f>
        <v>0.28351363919571171</v>
      </c>
      <c r="I12">
        <f>Material_Inventory!F15*1000 + Material_Inventory!R15*542.5 + Material_Inventory!N15*200 + Material_Inventory!H15*0.15 + Material_Inventory!O15*50</f>
        <v>0.28351363919571171</v>
      </c>
      <c r="J12">
        <f>Material_Inventory!J15*360 + Material_Inventory!S15*703 + Material_Inventory!G15*1193 + Material_Inventory!Q15*100 + Material_Inventory!H15*0.15 + Material_Inventory!O15*133</f>
        <v>-9.3602182958613927E-3</v>
      </c>
      <c r="K12">
        <f>Material_Inventory!J15*360 + Material_Inventory!S15*703 + Material_Inventory!G15*1193 + Material_Inventory!Q15*100 + Material_Inventory!H15*0.15 + Material_Inventory!O15*133</f>
        <v>-9.3602182958613927E-3</v>
      </c>
      <c r="N12">
        <f t="shared" si="0"/>
        <v>4.6604912257615743</v>
      </c>
      <c r="O12">
        <f t="shared" si="1"/>
        <v>-1.578370272277563</v>
      </c>
      <c r="P12">
        <f t="shared" si="2"/>
        <v>-3.4203099054343169</v>
      </c>
      <c r="Q12">
        <f t="shared" si="3"/>
        <v>-1.5096160067565281</v>
      </c>
      <c r="R12">
        <f t="shared" si="4"/>
        <v>2.0477198641722736</v>
      </c>
      <c r="S12">
        <f t="shared" si="5"/>
        <v>2.8318292106352549</v>
      </c>
      <c r="T12">
        <f t="shared" si="6"/>
        <v>-7.9137548417939456</v>
      </c>
      <c r="U12">
        <f t="shared" si="7"/>
        <v>-3.3412637718293614</v>
      </c>
    </row>
    <row r="13" spans="1:22" x14ac:dyDescent="0.25">
      <c r="A13" s="4" t="s">
        <v>24</v>
      </c>
      <c r="B13" s="4" t="s">
        <v>25</v>
      </c>
      <c r="D13">
        <f>Material_Inventory!T16*1654 + Material_Inventory!J16*72 + Material_Inventory!S16*288 + Material_Inventory!H16*0.15 + Material_Inventory!O16*43.2</f>
        <v>5.0508029045235929E-6</v>
      </c>
      <c r="E13">
        <f>Material_Inventory!J16*360 + Material_Inventory!S16*703 + Material_Inventory!G16*1193 + Material_Inventory!Q16*100 + Material_Inventory!H16*0.15 + Material_Inventory!O16*133</f>
        <v>1.4257894335382617E-5</v>
      </c>
      <c r="F13">
        <f>Material_Inventory!J16* 360 + Material_Inventory!S16*703 + Material_Inventory!G16* 1193 + Material_Inventory!Q16*100 + Material_Inventory!H16* 0.15 + Material_Inventory!O16*133</f>
        <v>1.4257894335382617E-5</v>
      </c>
      <c r="G13">
        <f>Material_Inventory!J16*360 + Material_Inventory!S16*703 + Material_Inventory!G16*1193 + Material_Inventory!Q16*100 + Material_Inventory!H16*0.15 + Material_Inventory!O16*133</f>
        <v>1.4257894335382617E-5</v>
      </c>
      <c r="H13">
        <f>Material_Inventory!F16*1000 + Material_Inventory!R16*542.5 + Material_Inventory!N16*200 + Material_Inventory!H16*0.15 + Material_Inventory!O16*50</f>
        <v>5.2004273442682409E-5</v>
      </c>
      <c r="I13">
        <f>Material_Inventory!F16*1000 + Material_Inventory!R16*542.5 + Material_Inventory!N16*200 + Material_Inventory!H16*0.15 + Material_Inventory!O16*50</f>
        <v>5.2004273442682409E-5</v>
      </c>
      <c r="J13">
        <f>Material_Inventory!J16*360 + Material_Inventory!S16*703 + Material_Inventory!G16*1193 + Material_Inventory!Q16*100 + Material_Inventory!H16*0.15 + Material_Inventory!O16*133</f>
        <v>1.4257894335382617E-5</v>
      </c>
      <c r="K13">
        <f>Material_Inventory!J16*360 + Material_Inventory!S16*703 + Material_Inventory!G16*1193 + Material_Inventory!Q16*100 + Material_Inventory!H16*0.15 + Material_Inventory!O16*133</f>
        <v>1.4257894335382617E-5</v>
      </c>
      <c r="N13">
        <f t="shared" si="0"/>
        <v>1.2746503294419762E-2</v>
      </c>
      <c r="O13">
        <f t="shared" si="1"/>
        <v>2.4042427059839835E-3</v>
      </c>
      <c r="P13">
        <f t="shared" si="2"/>
        <v>5.2099658025611438E-3</v>
      </c>
      <c r="Q13">
        <f t="shared" si="3"/>
        <v>2.2995131984105128E-3</v>
      </c>
      <c r="R13">
        <f t="shared" si="4"/>
        <v>3.7560867989464301E-4</v>
      </c>
      <c r="S13">
        <f t="shared" si="5"/>
        <v>5.194361055454957E-4</v>
      </c>
      <c r="T13">
        <f t="shared" si="6"/>
        <v>1.2054577870294951E-2</v>
      </c>
      <c r="U13">
        <f t="shared" si="7"/>
        <v>5.0895592709038302E-3</v>
      </c>
    </row>
    <row r="14" spans="1:22" x14ac:dyDescent="0.25">
      <c r="A14" s="4" t="s">
        <v>53</v>
      </c>
      <c r="B14" s="4" t="s">
        <v>54</v>
      </c>
      <c r="D14">
        <f>Material_Inventory!T17*1654 + Material_Inventory!J17*72 + Material_Inventory!S17*288 + Material_Inventory!H17*0.15 + Material_Inventory!O17*43.2</f>
        <v>0.12139435160312992</v>
      </c>
      <c r="E14">
        <f>Material_Inventory!J17*360 + Material_Inventory!S17*703 + Material_Inventory!G17*1193 + Material_Inventory!Q17*100 + Material_Inventory!H17*0.15 + Material_Inventory!O17*133</f>
        <v>0.25124616953935452</v>
      </c>
      <c r="F14">
        <f>Material_Inventory!J17* 360 + Material_Inventory!S17*703 + Material_Inventory!G17* 1193 + Material_Inventory!Q17*100 + Material_Inventory!H17* 0.15 + Material_Inventory!O17*133</f>
        <v>0.25124616953935452</v>
      </c>
      <c r="G14">
        <f>Material_Inventory!J17*360 + Material_Inventory!S17*703 + Material_Inventory!G17*1193 + Material_Inventory!Q17*100 + Material_Inventory!H17*0.15 + Material_Inventory!O17*133</f>
        <v>0.25124616953935452</v>
      </c>
      <c r="H14">
        <f>Material_Inventory!F17*1000 + Material_Inventory!R17*542.5 + Material_Inventory!N17*200 + Material_Inventory!H17*0.15 + Material_Inventory!O17*50</f>
        <v>0.80672308239650048</v>
      </c>
      <c r="I14">
        <f>Material_Inventory!F17*1000 + Material_Inventory!R17*542.5 + Material_Inventory!N17*200 + Material_Inventory!H17*0.15 + Material_Inventory!O17*50</f>
        <v>0.80672308239650048</v>
      </c>
      <c r="J14">
        <f>Material_Inventory!J17*360 + Material_Inventory!S17*703 + Material_Inventory!G17*1193 + Material_Inventory!Q17*100 + Material_Inventory!H17*0.15 + Material_Inventory!O17*133</f>
        <v>0.25124616953935452</v>
      </c>
      <c r="K14">
        <f>Material_Inventory!J17*360 + Material_Inventory!S17*703 + Material_Inventory!G17*1193 + Material_Inventory!Q17*100 + Material_Inventory!H17*0.15 + Material_Inventory!O17*133</f>
        <v>0.25124616953935452</v>
      </c>
      <c r="N14">
        <f t="shared" si="0"/>
        <v>306.3579260333853</v>
      </c>
      <c r="O14">
        <f t="shared" si="1"/>
        <v>42.366478268980536</v>
      </c>
      <c r="P14">
        <f t="shared" si="2"/>
        <v>91.807662515503509</v>
      </c>
      <c r="Q14">
        <f t="shared" si="3"/>
        <v>40.520982223307172</v>
      </c>
      <c r="R14">
        <f t="shared" si="4"/>
        <v>5.8266786931165973</v>
      </c>
      <c r="S14">
        <f t="shared" si="5"/>
        <v>8.0578204142309779</v>
      </c>
      <c r="T14">
        <f t="shared" si="6"/>
        <v>212.42032267061271</v>
      </c>
      <c r="U14">
        <f t="shared" si="7"/>
        <v>89.685913037297183</v>
      </c>
    </row>
    <row r="15" spans="1:22" x14ac:dyDescent="0.25">
      <c r="A15" s="4" t="s">
        <v>28</v>
      </c>
      <c r="B15" s="4" t="s">
        <v>26</v>
      </c>
      <c r="D15">
        <f>Material_Inventory!T18*1654 + Material_Inventory!J18*72 + Material_Inventory!S18*288 + Material_Inventory!H18*0.15 + Material_Inventory!O18*43.2</f>
        <v>5430.6579287163631</v>
      </c>
      <c r="E15">
        <f>Material_Inventory!J18*360 + Material_Inventory!S18*703 + Material_Inventory!G18*1193 + Material_Inventory!Q18*100 + Material_Inventory!H18*0.15 + Material_Inventory!O18*133</f>
        <v>6412.2042529074215</v>
      </c>
      <c r="F15">
        <f>Material_Inventory!J18* 360 + Material_Inventory!S18*703 + Material_Inventory!G18* 1193 + Material_Inventory!Q18*100 + Material_Inventory!H18* 0.15 + Material_Inventory!O18*133</f>
        <v>6412.2042529074215</v>
      </c>
      <c r="G15">
        <f>Material_Inventory!J18*360 + Material_Inventory!S18*703 + Material_Inventory!G18*1193 + Material_Inventory!Q18*100 + Material_Inventory!H18*0.15 + Material_Inventory!O18*133</f>
        <v>6412.2042529074215</v>
      </c>
      <c r="H15">
        <f>Material_Inventory!F18*1000 + Material_Inventory!R18*542.5 + Material_Inventory!N18*200 + Material_Inventory!H18*0.15 + Material_Inventory!O18*50</f>
        <v>47737.798719657527</v>
      </c>
      <c r="I15">
        <f>Material_Inventory!F18*1000 + Material_Inventory!R18*542.5 + Material_Inventory!N18*200 + Material_Inventory!H18*0.15 + Material_Inventory!O18*50</f>
        <v>47737.798719657527</v>
      </c>
      <c r="J15">
        <f>Material_Inventory!J18*360 + Material_Inventory!S18*703 + Material_Inventory!G18*1193 + Material_Inventory!Q18*100 + Material_Inventory!H18*0.15 + Material_Inventory!O18*133</f>
        <v>6412.2042529074215</v>
      </c>
      <c r="K15">
        <f>Material_Inventory!J18*360 + Material_Inventory!S18*703 + Material_Inventory!G18*1193 + Material_Inventory!Q18*100 + Material_Inventory!H18*0.15 + Material_Inventory!O18*133</f>
        <v>6412.2042529074215</v>
      </c>
      <c r="N15">
        <f t="shared" si="0"/>
        <v>13705127.776269693</v>
      </c>
      <c r="O15">
        <f t="shared" si="1"/>
        <v>1081260.3138791907</v>
      </c>
      <c r="P15">
        <f t="shared" si="2"/>
        <v>2343078.4441837631</v>
      </c>
      <c r="Q15">
        <f t="shared" si="3"/>
        <v>1034160.3019089109</v>
      </c>
      <c r="R15">
        <f t="shared" si="4"/>
        <v>344793.42506206676</v>
      </c>
      <c r="S15">
        <f t="shared" si="5"/>
        <v>476821.12666344416</v>
      </c>
      <c r="T15">
        <f t="shared" si="6"/>
        <v>5421306.5175471921</v>
      </c>
      <c r="U15">
        <f t="shared" si="7"/>
        <v>2288928.002596125</v>
      </c>
    </row>
    <row r="18" spans="5:5" x14ac:dyDescent="0.25">
      <c r="E18">
        <f>Material_Inventory!T8*0.15</f>
        <v>1.5899999999999997E-2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D3F92-CA15-484B-BD24-5B0D35BA078A}">
  <sheetPr codeName="Sheet4"/>
  <dimension ref="A1:M17"/>
  <sheetViews>
    <sheetView workbookViewId="0">
      <selection activeCell="G14" sqref="G14"/>
    </sheetView>
  </sheetViews>
  <sheetFormatPr defaultRowHeight="15" x14ac:dyDescent="0.25"/>
  <cols>
    <col min="4" max="4" width="13.28515625" customWidth="1"/>
    <col min="5" max="5" width="13.42578125" customWidth="1"/>
    <col min="6" max="6" width="10.85546875" bestFit="1" customWidth="1"/>
  </cols>
  <sheetData>
    <row r="1" spans="1:13" ht="21" x14ac:dyDescent="0.35">
      <c r="A1" s="7" t="s">
        <v>76</v>
      </c>
    </row>
    <row r="2" spans="1:13" ht="18.75" x14ac:dyDescent="0.3">
      <c r="D2" s="6"/>
      <c r="E2" s="6"/>
      <c r="F2" s="6" t="s">
        <v>0</v>
      </c>
      <c r="G2" s="6" t="s">
        <v>1</v>
      </c>
      <c r="H2" s="6" t="s">
        <v>2</v>
      </c>
      <c r="I2" s="6" t="s">
        <v>3</v>
      </c>
      <c r="J2" s="6" t="s">
        <v>4</v>
      </c>
      <c r="K2" s="6" t="s">
        <v>5</v>
      </c>
      <c r="L2" s="6" t="s">
        <v>6</v>
      </c>
      <c r="M2" s="6" t="s">
        <v>7</v>
      </c>
    </row>
    <row r="3" spans="1:13" x14ac:dyDescent="0.25">
      <c r="D3" t="s">
        <v>58</v>
      </c>
      <c r="E3" t="s">
        <v>60</v>
      </c>
      <c r="F3" t="s">
        <v>78</v>
      </c>
    </row>
    <row r="4" spans="1:13" x14ac:dyDescent="0.25">
      <c r="D4" t="s">
        <v>39</v>
      </c>
      <c r="E4" t="s">
        <v>77</v>
      </c>
    </row>
    <row r="5" spans="1:13" x14ac:dyDescent="0.25">
      <c r="A5" s="5" t="s">
        <v>9</v>
      </c>
      <c r="B5" s="5" t="s">
        <v>10</v>
      </c>
    </row>
    <row r="6" spans="1:13" x14ac:dyDescent="0.25">
      <c r="A6" s="4" t="s">
        <v>12</v>
      </c>
      <c r="B6" s="4" t="s">
        <v>13</v>
      </c>
      <c r="D6">
        <v>2.4715611456114896E-3</v>
      </c>
      <c r="E6">
        <v>4.2988697938346398E-3</v>
      </c>
      <c r="F6">
        <f>((('Material Production'!$N$15*0.1)*0.3)/55.42)*'Construction Phase'!D6 + ((('Material Production'!$N$15*0.1)*0.7)/15.83)*'Construction Phase'!E6 + ('Component Volume'!$N$2*Material_Inventory!P7*(72*66 + 288*15 + 1654*50 + 0.15*50))</f>
        <v>758.06821238375096</v>
      </c>
      <c r="G6">
        <f>((('Material Production'!$O$15*0.1)*0.3)/55.42)*'Construction Phase'!D6 + ((('Material Production'!$O$15*0.1)*0.7)/15.83)*'Construction Phase'!E6 + ('Component Volume'!$O$2*Material_Inventory!P7*(360*66 + 703*15 + 1193*26 + 100*249 + 0.15*50))</f>
        <v>53.479836439287411</v>
      </c>
      <c r="H6">
        <f>((('Material Production'!$P$15*0.1)*0.3)/55.42)*'Construction Phase'!D6 + ((('Material Production'!$P$15*0.1)*0.7)/15.83)*'Construction Phase'!E6 + ('Component Volume'!$P$2*Material_Inventory!P7*(360*66 + 703*15 + 1193*26 + 100*249 + 0.15*50))</f>
        <v>115.89017959034079</v>
      </c>
      <c r="I6">
        <f>((('Material Production'!$Q$15*0.1)*0.3)/55.42)*'Construction Phase'!D6 + ((('Material Production'!$Q$15*0.1)*0.7)/15.83)*'Construction Phase'!E6 + ('Component Volume'!$Q$2*Material_Inventory!P7*(360*66 + 703*15 + 1193*26 + 100*249 + 0.15*50))</f>
        <v>51.150239297760862</v>
      </c>
      <c r="J6">
        <f>((('Material Production'!$R$15*0.1)*0.3)/55.42)*'Construction Phase'!D6 + ((('Material Production'!$R$15*0.1)*0.7)/15.83)*'Construction Phase'!E6 + ('Component Volume'!$R$2*Material_Inventory!P7*(1000*26 + 542.5*50 + 200*50 + 0.15*50))</f>
        <v>7.9590583888022151</v>
      </c>
      <c r="K6">
        <f>((('Material Production'!$S$15*0.1)*0.3)/55.42)*'Construction Phase'!D6 + ((('Material Production'!$S$15*0.1)*0.7)/15.83)*'Construction Phase'!E6 + ('Component Volume'!$S$2*Material_Inventory!P7*(1000*26 + 542.5*50 + 200*50 + 0.15*50))</f>
        <v>11.006727252544495</v>
      </c>
      <c r="L6">
        <f>((('Material Production'!$T$15*0.1)*0.3)/55.42)*'Construction Phase'!D6 + ((('Material Production'!$T$15*0.1)*0.7)/15.83)*'Construction Phase'!E6 + ('Component Volume'!$T$2*Material_Inventory!P7*(360*66 + 703*15 + 1193*26 + 100*249 + 0.15*50))</f>
        <v>268.14133666433685</v>
      </c>
      <c r="M6">
        <f>((('Material Production'!$U$15*0.1)*0.3)/55.42)*'Construction Phase'!D6 + ((('Material Production'!$U$15*0.1)*0.7)/15.83)*'Construction Phase'!E6 + ('Component Volume'!$U$2*Material_Inventory!P7*(360*66 + 703*15 + 1193*26 + 100*249 + 0.15*50))</f>
        <v>113.21186362696987</v>
      </c>
    </row>
    <row r="7" spans="1:13" x14ac:dyDescent="0.25">
      <c r="A7" s="4" t="s">
        <v>15</v>
      </c>
      <c r="B7" s="4" t="s">
        <v>16</v>
      </c>
      <c r="D7">
        <v>0.81654675048260184</v>
      </c>
      <c r="E7">
        <v>1.1453295621646993</v>
      </c>
      <c r="F7">
        <f>((('Material Production'!$N$15*0.1)*0.3)/55.42)*'Construction Phase'!D7 + ((('Material Production'!$N$15*0.1)*0.7)/15.83)*'Construction Phase'!E7 + ('Component Volume'!$N$2*Material_Inventory!P8*(72*66 + 288*15 + 1654*50 + 0.15*50))</f>
        <v>168159.07077265962</v>
      </c>
      <c r="G7">
        <f>((('Material Production'!$O$15*0.1)*0.3)/55.42)*'Construction Phase'!D7 + ((('Material Production'!$O$15*0.1)*0.7)/15.83)*'Construction Phase'!E7 + ('Component Volume'!$O$2*Material_Inventory!P8*(360*66 + 703*15 + 1193*26 + 100*249 + 0.15*50))</f>
        <v>12042.91865987135</v>
      </c>
      <c r="H7">
        <f>((('Material Production'!$P$15*0.1)*0.3)/55.42)*'Construction Phase'!D7 + ((('Material Production'!$P$15*0.1)*0.7)/15.83)*'Construction Phase'!E7 + ('Component Volume'!$P$2*Material_Inventory!P8*(360*66 + 703*15 + 1193*26 + 100*249 + 0.15*50))</f>
        <v>26096.863775355134</v>
      </c>
      <c r="I7">
        <f>((('Material Production'!$Q$15*0.1)*0.3)/55.42)*'Construction Phase'!D7 + ((('Material Production'!$Q$15*0.1)*0.7)/15.83)*'Construction Phase'!E7 + ('Component Volume'!$Q$2*Material_Inventory!P8*(360*66 + 703*15 + 1193*26 + 100*249 + 0.15*50))</f>
        <v>11518.325640266245</v>
      </c>
      <c r="J7">
        <f>((('Material Production'!$R$15*0.1)*0.3)/55.42)*'Construction Phase'!D7 + ((('Material Production'!$R$15*0.1)*0.7)/15.83)*'Construction Phase'!E7 + ('Component Volume'!$R$2*Material_Inventory!P8*(1000*26 + 542.5*50 + 200*50 + 0.15*50))</f>
        <v>2081.129881854783</v>
      </c>
      <c r="K7">
        <f>((('Material Production'!$S$15*0.1)*0.3)/55.42)*'Construction Phase'!D7 + ((('Material Production'!$S$15*0.1)*0.7)/15.83)*'Construction Phase'!E7 + ('Component Volume'!$S$2*Material_Inventory!P8*(1000*26 + 542.5*50 + 200*50 + 0.15*50))</f>
        <v>2878.0325344670591</v>
      </c>
      <c r="L7">
        <f>((('Material Production'!$T$15*0.1)*0.3)/55.42)*'Construction Phase'!D7 + ((('Material Production'!$T$15*0.1)*0.7)/15.83)*'Construction Phase'!E7 + ('Component Volume'!$T$2*Material_Inventory!P8*(360*66 + 703*15 + 1193*26 + 100*249 + 0.15*50))</f>
        <v>60381.716209317856</v>
      </c>
      <c r="M7">
        <f>((('Material Production'!$U$15*0.1)*0.3)/55.42)*'Construction Phase'!D7 + ((('Material Production'!$U$15*0.1)*0.7)/15.83)*'Construction Phase'!E7 + ('Component Volume'!$U$2*Material_Inventory!P8*(360*66 + 703*15 + 1193*26 + 100*249 + 0.15*50))</f>
        <v>25493.744105590849</v>
      </c>
    </row>
    <row r="8" spans="1:13" x14ac:dyDescent="0.25">
      <c r="A8" s="4" t="s">
        <v>41</v>
      </c>
      <c r="B8" s="4" t="s">
        <v>17</v>
      </c>
      <c r="D8">
        <v>0.25014581957826271</v>
      </c>
      <c r="E8">
        <v>0.61571298443619116</v>
      </c>
      <c r="F8">
        <f>((('Material Production'!$N$15*0.1)*0.3)/55.42)*'Construction Phase'!D8 + ((('Material Production'!$N$15*0.1)*0.7)/15.83)*'Construction Phase'!E8 + ('Component Volume'!$N$2*Material_Inventory!P9*(72*66 + 288*15 + 1654*50 + 0.15*50))</f>
        <v>112131.06123379586</v>
      </c>
      <c r="G8">
        <f>((('Material Production'!$O$15*0.1)*0.3)/55.42)*'Construction Phase'!D8 + ((('Material Production'!$O$15*0.1)*0.7)/15.83)*'Construction Phase'!E8 + ('Component Volume'!$O$2*Material_Inventory!P9*(360*66 + 703*15 + 1193*26 + 100*249 + 0.15*50))</f>
        <v>7883.1254314448925</v>
      </c>
      <c r="H8">
        <f>((('Material Production'!$P$15*0.1)*0.3)/55.42)*'Construction Phase'!D8 + ((('Material Production'!$P$15*0.1)*0.7)/15.83)*'Construction Phase'!E8 + ('Component Volume'!$P$2*Material_Inventory!P9*(360*66 + 703*15 + 1193*26 + 100*249 + 0.15*50))</f>
        <v>17082.640539120996</v>
      </c>
      <c r="I8">
        <f>((('Material Production'!$Q$15*0.1)*0.3)/55.42)*'Construction Phase'!D8 + ((('Material Production'!$Q$15*0.1)*0.7)/15.83)*'Construction Phase'!E8 + ('Component Volume'!$Q$2*Material_Inventory!P9*(360*66 + 703*15 + 1193*26 + 100*249 + 0.15*50))</f>
        <v>7539.7342078715483</v>
      </c>
      <c r="J8">
        <f>((('Material Production'!$R$15*0.1)*0.3)/55.42)*'Construction Phase'!D8 + ((('Material Production'!$R$15*0.1)*0.7)/15.83)*'Construction Phase'!E8 + ('Component Volume'!$R$2*Material_Inventory!P9*(1000*26 + 542.5*50 + 200*50 + 0.15*50))</f>
        <v>1129.0834456002522</v>
      </c>
      <c r="K8">
        <f>((('Material Production'!$S$15*0.1)*0.3)/55.42)*'Construction Phase'!D8 + ((('Material Production'!$S$15*0.1)*0.7)/15.83)*'Construction Phase'!E8 + ('Component Volume'!$S$2*Material_Inventory!P9*(1000*26 + 542.5*50 + 200*50 + 0.15*50))</f>
        <v>1561.4301245194652</v>
      </c>
      <c r="L8">
        <f>((('Material Production'!$T$15*0.1)*0.3)/55.42)*'Construction Phase'!D8 + ((('Material Production'!$T$15*0.1)*0.7)/15.83)*'Construction Phase'!E8 + ('Component Volume'!$T$2*Material_Inventory!P9*(360*66 + 703*15 + 1193*26 + 100*249 + 0.15*50))</f>
        <v>39525.023467114137</v>
      </c>
      <c r="M8">
        <f>((('Material Production'!$U$15*0.1)*0.3)/55.42)*'Construction Phase'!D8 + ((('Material Production'!$U$15*0.1)*0.7)/15.83)*'Construction Phase'!E8 + ('Component Volume'!$U$2*Material_Inventory!P9*(360*66 + 703*15 + 1193*26 + 100*249 + 0.15*50))</f>
        <v>16687.846873133196</v>
      </c>
    </row>
    <row r="9" spans="1:13" x14ac:dyDescent="0.25">
      <c r="A9" s="4" t="s">
        <v>43</v>
      </c>
      <c r="B9" s="4" t="s">
        <v>17</v>
      </c>
      <c r="D9">
        <v>466.7218985513432</v>
      </c>
      <c r="E9">
        <v>2193.3782732095015</v>
      </c>
      <c r="F9">
        <f>((('Material Production'!$N$15*0.1)*0.3)/55.42)*'Construction Phase'!D9 + ((('Material Production'!$N$15*0.1)*0.7)/15.83)*'Construction Phase'!E9 + ('Component Volume'!$N$2*Material_Inventory!P10*(72*66 + 288*15 + 1654*50 + 0.15*50))</f>
        <v>278835098.4159255</v>
      </c>
      <c r="G9">
        <f>((('Material Production'!$O$15*0.1)*0.3)/55.42)*'Construction Phase'!D9 + ((('Material Production'!$O$15*0.1)*0.7)/15.83)*'Construction Phase'!E9 + ('Component Volume'!$O$2*Material_Inventory!P10*(360*66 + 703*15 + 1193*26 + 100*249 + 0.15*50))</f>
        <v>20117661.533129759</v>
      </c>
      <c r="H9">
        <f>((('Material Production'!$P$15*0.1)*0.3)/55.42)*'Construction Phase'!D9 + ((('Material Production'!$P$15*0.1)*0.7)/15.83)*'Construction Phase'!E9 + ('Component Volume'!$P$2*Material_Inventory!P10*(360*66 + 703*15 + 1193*26 + 100*249 + 0.15*50))</f>
        <v>43594737.068032146</v>
      </c>
      <c r="I9">
        <f>((('Material Production'!$Q$15*0.1)*0.3)/55.42)*'Construction Phase'!D9 + ((('Material Production'!$Q$15*0.1)*0.7)/15.83)*'Construction Phase'!E9 + ('Component Volume'!$Q$2*Material_Inventory!P10*(360*66 + 703*15 + 1193*26 + 100*249 + 0.15*50))</f>
        <v>19241330.378770646</v>
      </c>
      <c r="J9">
        <f>((('Material Production'!$R$15*0.1)*0.3)/55.42)*'Construction Phase'!D9 + ((('Material Production'!$R$15*0.1)*0.7)/15.83)*'Construction Phase'!E9 + ('Component Volume'!$R$2*Material_Inventory!P10*(1000*26 + 542.5*50 + 200*50 + 0.15*50))</f>
        <v>3711718.8772966582</v>
      </c>
      <c r="K9">
        <f>((('Material Production'!$S$15*0.1)*0.3)/55.42)*'Construction Phase'!D9 + ((('Material Production'!$S$15*0.1)*0.7)/15.83)*'Construction Phase'!E9 + ('Component Volume'!$S$2*Material_Inventory!P10*(1000*26 + 542.5*50 + 200*50 + 0.15*50))</f>
        <v>5133003.8460332528</v>
      </c>
      <c r="L9">
        <f>((('Material Production'!$T$15*0.1)*0.3)/55.42)*'Construction Phase'!D9 + ((('Material Production'!$T$15*0.1)*0.7)/15.83)*'Construction Phase'!E9 + ('Component Volume'!$T$2*Material_Inventory!P10*(360*66 + 703*15 + 1193*26 + 100*249 + 0.15*50))</f>
        <v>100867486.01368767</v>
      </c>
      <c r="M9">
        <f>((('Material Production'!$U$15*0.1)*0.3)/55.42)*'Construction Phase'!D9 + ((('Material Production'!$U$15*0.1)*0.7)/15.83)*'Construction Phase'!E9 + ('Component Volume'!$U$2*Material_Inventory!P10*(360*66 + 703*15 + 1193*26 + 100*249 + 0.15*50))</f>
        <v>42587227.366856389</v>
      </c>
    </row>
    <row r="10" spans="1:13" x14ac:dyDescent="0.25">
      <c r="A10" s="4" t="s">
        <v>45</v>
      </c>
      <c r="B10" s="4" t="s">
        <v>17</v>
      </c>
      <c r="D10">
        <v>4.9917180554468719E-3</v>
      </c>
      <c r="E10">
        <v>2.224343197418556E-3</v>
      </c>
      <c r="F10">
        <f>((('Material Production'!$N$15*0.1)*0.3)/55.42)*'Construction Phase'!D10 + ((('Material Production'!$N$15*0.1)*0.7)/15.83)*'Construction Phase'!E10 + ('Component Volume'!$N$2*Material_Inventory!P11*(72*66 + 288*15 + 1654*50 + 0.15*50))</f>
        <v>1071.4463682063208</v>
      </c>
      <c r="G10">
        <f>((('Material Production'!$O$15*0.1)*0.3)/55.42)*'Construction Phase'!D10 + ((('Material Production'!$O$15*0.1)*0.7)/15.83)*'Construction Phase'!E10 + ('Component Volume'!$O$2*Material_Inventory!P11*(360*66 + 703*15 + 1193*26 + 100*249 + 0.15*50))</f>
        <v>72.652436962292924</v>
      </c>
      <c r="H10">
        <f>((('Material Production'!$P$15*0.1)*0.3)/55.42)*'Construction Phase'!D10 + ((('Material Production'!$P$15*0.1)*0.7)/15.83)*'Construction Phase'!E10 + ('Component Volume'!$P$2*Material_Inventory!P11*(360*66 + 703*15 + 1193*26 + 100*249 + 0.15*50))</f>
        <v>157.4369805112334</v>
      </c>
      <c r="I10">
        <f>((('Material Production'!$Q$15*0.1)*0.3)/55.42)*'Construction Phase'!D10 + ((('Material Production'!$Q$15*0.1)*0.7)/15.83)*'Construction Phase'!E10 + ('Component Volume'!$Q$2*Material_Inventory!P11*(360*66 + 703*15 + 1193*26 + 100*249 + 0.15*50))</f>
        <v>69.487675797317507</v>
      </c>
      <c r="J10">
        <f>((('Material Production'!$R$15*0.1)*0.3)/55.42)*'Construction Phase'!D10 + ((('Material Production'!$R$15*0.1)*0.7)/15.83)*'Construction Phase'!E10 + ('Component Volume'!$R$2*Material_Inventory!P11*(1000*26 + 542.5*50 + 200*50 + 0.15*50))</f>
        <v>6.094100721498279</v>
      </c>
      <c r="K10">
        <f>((('Material Production'!$S$15*0.1)*0.3)/55.42)*'Construction Phase'!D10 + ((('Material Production'!$S$15*0.1)*0.7)/15.83)*'Construction Phase'!E10 + ('Component Volume'!$S$2*Material_Inventory!P11*(1000*26 + 542.5*50 + 200*50 + 0.15*50))</f>
        <v>8.4276432229014819</v>
      </c>
      <c r="L10">
        <f>((('Material Production'!$T$15*0.1)*0.3)/55.42)*'Construction Phase'!D10 + ((('Material Production'!$T$15*0.1)*0.7)/15.83)*'Construction Phase'!E10 + ('Component Volume'!$T$2*Material_Inventory!P11*(360*66 + 703*15 + 1193*26 + 100*249 + 0.15*50))</f>
        <v>364.27040275462508</v>
      </c>
      <c r="M10">
        <f>((('Material Production'!$U$15*0.1)*0.3)/55.42)*'Construction Phase'!D10 + ((('Material Production'!$U$15*0.1)*0.7)/15.83)*'Construction Phase'!E10 + ('Component Volume'!$U$2*Material_Inventory!P11*(360*66 + 703*15 + 1193*26 + 100*249 + 0.15*50))</f>
        <v>153.79848431061745</v>
      </c>
    </row>
    <row r="11" spans="1:13" x14ac:dyDescent="0.25">
      <c r="A11" s="4" t="s">
        <v>47</v>
      </c>
      <c r="B11" s="4" t="s">
        <v>48</v>
      </c>
      <c r="D11">
        <v>51.927203139903376</v>
      </c>
      <c r="E11">
        <v>13.262798485897813</v>
      </c>
      <c r="F11">
        <f>((('Material Production'!$N$15*0.1)*0.3)/55.42)*'Construction Phase'!D11 + ((('Material Production'!$N$15*0.1)*0.7)/15.83)*'Construction Phase'!E11 + ('Component Volume'!$N$2*Material_Inventory!P12*(72*66 + 288*15 + 1654*50 + 0.15*50))</f>
        <v>2306208.6874444289</v>
      </c>
      <c r="G11">
        <f>((('Material Production'!$O$15*0.1)*0.3)/55.42)*'Construction Phase'!D11 + ((('Material Production'!$O$15*0.1)*0.7)/15.83)*'Construction Phase'!E11 + ('Component Volume'!$O$2*Material_Inventory!P12*(360*66 + 703*15 + 1193*26 + 100*249 + 0.15*50))</f>
        <v>167195.44795244743</v>
      </c>
      <c r="H11">
        <f>((('Material Production'!$P$15*0.1)*0.3)/55.42)*'Construction Phase'!D11 + ((('Material Production'!$P$15*0.1)*0.7)/15.83)*'Construction Phase'!E11 + ('Component Volume'!$P$2*Material_Inventory!P12*(360*66 + 703*15 + 1193*26 + 100*249 + 0.15*50))</f>
        <v>362310.57871490362</v>
      </c>
      <c r="I11">
        <f>((('Material Production'!$Q$15*0.1)*0.3)/55.42)*'Construction Phase'!D11 + ((('Material Production'!$Q$15*0.1)*0.7)/15.83)*'Construction Phase'!E11 + ('Component Volume'!$Q$2*Material_Inventory!P12*(360*66 + 703*15 + 1193*26 + 100*249 + 0.15*50))</f>
        <v>159912.36588714522</v>
      </c>
      <c r="J11">
        <f>((('Material Production'!$R$15*0.1)*0.3)/55.42)*'Construction Phase'!D11 + ((('Material Production'!$R$15*0.1)*0.7)/15.83)*'Construction Phase'!E11 + ('Component Volume'!$R$2*Material_Inventory!P12*(1000*26 + 542.5*50 + 200*50 + 0.15*50))</f>
        <v>32112.677742563217</v>
      </c>
      <c r="K11">
        <f>((('Material Production'!$S$15*0.1)*0.3)/55.42)*'Construction Phase'!D11 + ((('Material Production'!$S$15*0.1)*0.7)/15.83)*'Construction Phase'!E11 + ('Component Volume'!$S$2*Material_Inventory!P12*(1000*26 + 542.5*50 + 200*50 + 0.15*50))</f>
        <v>44409.208727320605</v>
      </c>
      <c r="L11">
        <f>((('Material Production'!$T$15*0.1)*0.3)/55.42)*'Construction Phase'!D11 + ((('Material Production'!$T$15*0.1)*0.7)/15.83)*'Construction Phase'!E11 + ('Component Volume'!$T$2*Material_Inventory!P12*(360*66 + 703*15 + 1193*26 + 100*249 + 0.15*50))</f>
        <v>838297.45719318022</v>
      </c>
      <c r="M11">
        <f>((('Material Production'!$U$15*0.1)*0.3)/55.42)*'Construction Phase'!D11 + ((('Material Production'!$U$15*0.1)*0.7)/15.83)*'Construction Phase'!E11 + ('Component Volume'!$U$2*Material_Inventory!P12*(360*66 + 703*15 + 1193*26 + 100*249 + 0.15*50))</f>
        <v>353937.28763795062</v>
      </c>
    </row>
    <row r="12" spans="1:13" x14ac:dyDescent="0.25">
      <c r="A12" s="4" t="s">
        <v>19</v>
      </c>
      <c r="B12" s="4" t="s">
        <v>20</v>
      </c>
      <c r="D12">
        <v>2.9193714592875984E-3</v>
      </c>
      <c r="E12">
        <v>3.6372302343569691E-3</v>
      </c>
      <c r="F12">
        <f>((('Material Production'!$N$15*0.1)*0.3)/55.42)*'Construction Phase'!D12 + ((('Material Production'!$N$15*0.1)*0.7)/15.83)*'Construction Phase'!E12 + ('Component Volume'!$N$2*Material_Inventory!P13*(72*66 + 288*15 + 1654*50 + 0.15*50))</f>
        <v>1239.21625597156</v>
      </c>
      <c r="G12">
        <f>((('Material Production'!$O$15*0.1)*0.3)/55.42)*'Construction Phase'!D12 + ((('Material Production'!$O$15*0.1)*0.7)/15.83)*'Construction Phase'!E12 + ('Component Volume'!$O$2*Material_Inventory!P13*(360*66 + 703*15 + 1193*26 + 100*249 + 0.15*50))</f>
        <v>84.600898246074536</v>
      </c>
      <c r="H12">
        <f>((('Material Production'!$P$15*0.1)*0.3)/55.42)*'Construction Phase'!D12 + ((('Material Production'!$P$15*0.1)*0.7)/15.83)*'Construction Phase'!E12 + ('Component Volume'!$P$2*Material_Inventory!P13*(360*66 + 703*15 + 1193*26 + 100*249 + 0.15*50))</f>
        <v>183.32915625821173</v>
      </c>
      <c r="I12">
        <f>((('Material Production'!$Q$15*0.1)*0.3)/55.42)*'Construction Phase'!D12 + ((('Material Production'!$Q$15*0.1)*0.7)/15.83)*'Construction Phase'!E12 + ('Component Volume'!$Q$2*Material_Inventory!P13*(360*66 + 703*15 + 1193*26 + 100*249 + 0.15*50))</f>
        <v>80.915658652113308</v>
      </c>
      <c r="J12">
        <f>((('Material Production'!$R$15*0.1)*0.3)/55.42)*'Construction Phase'!D12 + ((('Material Production'!$R$15*0.1)*0.7)/15.83)*'Construction Phase'!E12 + ('Component Volume'!$R$2*Material_Inventory!P13*(1000*26 + 542.5*50 + 200*50 + 0.15*50))</f>
        <v>8.0534784862524216</v>
      </c>
      <c r="K12">
        <f>((('Material Production'!$S$15*0.1)*0.3)/55.42)*'Construction Phase'!D12 + ((('Material Production'!$S$15*0.1)*0.7)/15.83)*'Construction Phase'!E12 + ('Component Volume'!$S$2*Material_Inventory!P13*(1000*26 + 542.5*50 + 200*50 + 0.15*50))</f>
        <v>11.137302530300374</v>
      </c>
      <c r="L12">
        <f>((('Material Production'!$T$15*0.1)*0.3)/55.42)*'Construction Phase'!D12 + ((('Material Production'!$T$15*0.1)*0.7)/15.83)*'Construction Phase'!E12 + ('Component Volume'!$T$2*Material_Inventory!P13*(360*66 + 703*15 + 1193*26 + 100*249 + 0.15*50))</f>
        <v>424.17852127238564</v>
      </c>
      <c r="M12">
        <f>((('Material Production'!$U$15*0.1)*0.3)/55.42)*'Construction Phase'!D12 + ((('Material Production'!$U$15*0.1)*0.7)/15.83)*'Construction Phase'!E12 + ('Component Volume'!$U$2*Material_Inventory!P13*(360*66 + 703*15 + 1193*26 + 100*249 + 0.15*50))</f>
        <v>179.09227089403879</v>
      </c>
    </row>
    <row r="13" spans="1:13" x14ac:dyDescent="0.25">
      <c r="A13" s="4" t="s">
        <v>22</v>
      </c>
      <c r="B13" s="4" t="s">
        <v>17</v>
      </c>
      <c r="D13">
        <v>0.76376006109995664</v>
      </c>
      <c r="E13">
        <v>0.60707387534895507</v>
      </c>
      <c r="F13">
        <f>((('Material Production'!$N$15*0.1)*0.3)/55.42)*'Construction Phase'!D13 + ((('Material Production'!$N$15*0.1)*0.7)/15.83)*'Construction Phase'!E13 + ('Component Volume'!$N$2*Material_Inventory!P14*(72*66 + 288*15 + 1654*50 + 0.15*50))</f>
        <v>246445.10867313095</v>
      </c>
      <c r="G13">
        <f>((('Material Production'!$O$15*0.1)*0.3)/55.42)*'Construction Phase'!D13 + ((('Material Production'!$O$15*0.1)*0.7)/15.83)*'Construction Phase'!E13 + ('Component Volume'!$O$2*Material_Inventory!P14*(360*66 + 703*15 + 1193*26 + 100*249 + 0.15*50))</f>
        <v>16749.630663811295</v>
      </c>
      <c r="H13">
        <f>((('Material Production'!$P$15*0.1)*0.3)/55.42)*'Construction Phase'!D13 + ((('Material Production'!$P$15*0.1)*0.7)/15.83)*'Construction Phase'!E13 + ('Component Volume'!$P$2*Material_Inventory!P14*(360*66 + 703*15 + 1193*26 + 100*249 + 0.15*50))</f>
        <v>36296.253596523427</v>
      </c>
      <c r="I13">
        <f>((('Material Production'!$Q$15*0.1)*0.3)/55.42)*'Construction Phase'!D13 + ((('Material Production'!$Q$15*0.1)*0.7)/15.83)*'Construction Phase'!E13 + ('Component Volume'!$Q$2*Material_Inventory!P14*(360*66 + 703*15 + 1193*26 + 100*249 + 0.15*50))</f>
        <v>16020.01190814556</v>
      </c>
      <c r="J13">
        <f>((('Material Production'!$R$15*0.1)*0.3)/55.42)*'Construction Phase'!D13 + ((('Material Production'!$R$15*0.1)*0.7)/15.83)*'Construction Phase'!E13 + ('Component Volume'!$R$2*Material_Inventory!P14*(1000*26 + 542.5*50 + 200*50 + 0.15*50))</f>
        <v>1469.7240484601632</v>
      </c>
      <c r="K13">
        <f>((('Material Production'!$S$15*0.1)*0.3)/55.42)*'Construction Phase'!D13 + ((('Material Production'!$S$15*0.1)*0.7)/15.83)*'Construction Phase'!E13 + ('Component Volume'!$S$2*Material_Inventory!P14*(1000*26 + 542.5*50 + 200*50 + 0.15*50))</f>
        <v>2032.5082374902663</v>
      </c>
      <c r="L13">
        <f>((('Material Production'!$T$15*0.1)*0.3)/55.42)*'Construction Phase'!D13 + ((('Material Production'!$T$15*0.1)*0.7)/15.83)*'Construction Phase'!E13 + ('Component Volume'!$T$2*Material_Inventory!P14*(360*66 + 703*15 + 1193*26 + 100*249 + 0.15*50))</f>
        <v>83980.592572062262</v>
      </c>
      <c r="M13">
        <f>((('Material Production'!$U$15*0.1)*0.3)/55.42)*'Construction Phase'!D13 + ((('Material Production'!$U$15*0.1)*0.7)/15.83)*'Construction Phase'!E13 + ('Component Volume'!$U$2*Material_Inventory!P14*(360*66 + 703*15 + 1193*26 + 100*249 + 0.15*50))</f>
        <v>35457.41776279045</v>
      </c>
    </row>
    <row r="14" spans="1:13" x14ac:dyDescent="0.25">
      <c r="A14" s="4" t="s">
        <v>50</v>
      </c>
      <c r="B14" s="4" t="s">
        <v>51</v>
      </c>
      <c r="D14">
        <v>-5.2320597750588662E-7</v>
      </c>
      <c r="E14">
        <v>8.8007588158928169E-7</v>
      </c>
      <c r="F14">
        <f>((('Material Production'!$N$15*0.1)*0.3)/55.42)*'Construction Phase'!D14 + ((('Material Production'!$N$15*0.1)*0.7)/15.83)*'Construction Phase'!E14 + ('Component Volume'!$N$2*Material_Inventory!P15*(72*66 + 288*15 + 1654*50 + 0.15*50))</f>
        <v>0.96417452288519589</v>
      </c>
      <c r="G14">
        <f>((('Material Production'!$O$15*0.1)*0.3)/55.42)*'Construction Phase'!D14 + ((('Material Production'!$O$15*0.1)*0.7)/15.83)*'Construction Phase'!E14 + ('Component Volume'!$O$2*Material_Inventory!P15*(360*66 + 703*15 + 1193*26 + 100*249 + 0.15*50))</f>
        <v>6.3989744220302402E-2</v>
      </c>
      <c r="H14">
        <f>((('Material Production'!$P$15*0.1)*0.3)/55.42)*'Construction Phase'!D14 + ((('Material Production'!$P$15*0.1)*0.7)/15.83)*'Construction Phase'!E14 + ('Component Volume'!$P$2*Material_Inventory!P15*(360*66 + 703*15 + 1193*26 + 100*249 + 0.15*50))</f>
        <v>0.13866502673488035</v>
      </c>
      <c r="I14">
        <f>((('Material Production'!$Q$15*0.1)*0.3)/55.42)*'Construction Phase'!D14 + ((('Material Production'!$Q$15*0.1)*0.7)/15.83)*'Construction Phase'!E14 + ('Component Volume'!$Q$2*Material_Inventory!P15*(360*66 + 703*15 + 1193*26 + 100*249 + 0.15*50))</f>
        <v>6.1202332456396544E-2</v>
      </c>
      <c r="J14">
        <f>((('Material Production'!$R$15*0.1)*0.3)/55.42)*'Construction Phase'!D14 + ((('Material Production'!$R$15*0.1)*0.7)/15.83)*'Construction Phase'!E14 + ('Component Volume'!$R$2*Material_Inventory!P15*(1000*26 + 542.5*50 + 200*50 + 0.15*50))</f>
        <v>3.0449562925372736E-3</v>
      </c>
      <c r="K14">
        <f>((('Material Production'!$S$15*0.1)*0.3)/55.42)*'Construction Phase'!D14 + ((('Material Production'!$S$15*0.1)*0.7)/15.83)*'Construction Phase'!E14 + ('Component Volume'!$S$2*Material_Inventory!P15*(1000*26 + 542.5*50 + 200*50 + 0.15*50))</f>
        <v>4.2109256862633282E-3</v>
      </c>
      <c r="L14">
        <f>((('Material Production'!$T$15*0.1)*0.3)/55.42)*'Construction Phase'!D14 + ((('Material Production'!$T$15*0.1)*0.7)/15.83)*'Construction Phase'!E14 + ('Component Volume'!$T$2*Material_Inventory!P15*(360*66 + 703*15 + 1193*26 + 100*249 + 0.15*50))</f>
        <v>0.32083672446380307</v>
      </c>
      <c r="M14">
        <f>((('Material Production'!$U$15*0.1)*0.3)/55.42)*'Construction Phase'!D14 + ((('Material Production'!$U$15*0.1)*0.7)/15.83)*'Construction Phase'!E14 + ('Component Volume'!$U$2*Material_Inventory!P15*(360*66 + 703*15 + 1193*26 + 100*249 + 0.15*50))</f>
        <v>0.1354603655981205</v>
      </c>
    </row>
    <row r="15" spans="1:13" x14ac:dyDescent="0.25">
      <c r="A15" s="4" t="s">
        <v>24</v>
      </c>
      <c r="B15" s="4" t="s">
        <v>25</v>
      </c>
      <c r="D15">
        <v>4.705669684859187E-8</v>
      </c>
      <c r="E15">
        <v>4.4244614346152325E-9</v>
      </c>
      <c r="F15">
        <f>((('Material Production'!$N$15*0.1)*0.3)/55.42)*'Construction Phase'!D15 + ((('Material Production'!$N$15*0.1)*0.7)/15.83)*'Construction Phase'!E15 + ('Component Volume'!$N$2*Material_Inventory!P16*(72*66 + 288*15 + 1654*50 + 0.15*50))</f>
        <v>2.1163947522195789E-3</v>
      </c>
      <c r="G15">
        <f>((('Material Production'!$O$15*0.1)*0.3)/55.42)*'Construction Phase'!D15 + ((('Material Production'!$O$15*0.1)*0.7)/15.83)*'Construction Phase'!E15 + ('Component Volume'!$O$2*Material_Inventory!P16*(360*66 + 703*15 + 1193*26 + 100*249 + 0.15*50))</f>
        <v>1.47176615035597E-4</v>
      </c>
      <c r="H15">
        <f>((('Material Production'!$P$15*0.1)*0.3)/55.42)*'Construction Phase'!D15 + ((('Material Production'!$P$15*0.1)*0.7)/15.83)*'Construction Phase'!E15 + ('Component Volume'!$P$2*Material_Inventory!P16*(360*66 + 703*15 + 1193*26 + 100*249 + 0.15*50))</f>
        <v>3.1893000210157432E-4</v>
      </c>
      <c r="I15">
        <f>((('Material Production'!$Q$15*0.1)*0.3)/55.42)*'Construction Phase'!D15 + ((('Material Production'!$Q$15*0.1)*0.7)/15.83)*'Construction Phase'!E15 + ('Component Volume'!$Q$2*Material_Inventory!P16*(360*66 + 703*15 + 1193*26 + 100*249 + 0.15*50))</f>
        <v>1.4076555912154778E-4</v>
      </c>
      <c r="J15">
        <f>((('Material Production'!$R$15*0.1)*0.3)/55.42)*'Construction Phase'!D15 + ((('Material Production'!$R$15*0.1)*0.7)/15.83)*'Construction Phase'!E15 + ('Component Volume'!$R$2*Material_Inventory!P16*(1000*26 + 542.5*50 + 200*50 + 0.15*50))</f>
        <v>1.8480020466230354E-5</v>
      </c>
      <c r="K15">
        <f>((('Material Production'!$S$15*0.1)*0.3)/55.42)*'Construction Phase'!D15 + ((('Material Production'!$S$15*0.1)*0.7)/15.83)*'Construction Phase'!E15 + ('Component Volume'!$S$2*Material_Inventory!P16*(1000*26 + 542.5*50 + 200*50 + 0.15*50))</f>
        <v>2.5556357920355535E-5</v>
      </c>
      <c r="L15">
        <f>((('Material Production'!$T$15*0.1)*0.3)/55.42)*'Construction Phase'!D15 + ((('Material Production'!$T$15*0.1)*0.7)/15.83)*'Construction Phase'!E15 + ('Component Volume'!$T$2*Material_Inventory!P16*(360*66 + 703*15 + 1193*26 + 100*249 + 0.15*50))</f>
        <v>7.3792548573290567E-4</v>
      </c>
      <c r="M15">
        <f>((('Material Production'!$U$15*0.1)*0.3)/55.42)*'Construction Phase'!D15 + ((('Material Production'!$U$15*0.1)*0.7)/15.83)*'Construction Phase'!E15 + ('Component Volume'!$U$2*Material_Inventory!P16*(360*66 + 703*15 + 1193*26 + 100*249 + 0.15*50))</f>
        <v>3.1155927130414136E-4</v>
      </c>
    </row>
    <row r="16" spans="1:13" x14ac:dyDescent="0.25">
      <c r="A16" s="4" t="s">
        <v>53</v>
      </c>
      <c r="B16" s="4" t="s">
        <v>54</v>
      </c>
      <c r="D16">
        <v>3.409151544241124E-4</v>
      </c>
      <c r="E16">
        <v>2.3583780191159632E-4</v>
      </c>
      <c r="F16">
        <f>((('Material Production'!$N$15*0.1)*0.3)/55.42)*'Construction Phase'!D16 + ((('Material Production'!$N$15*0.1)*0.7)/15.83)*'Construction Phase'!E16 + ('Component Volume'!$N$2*Material_Inventory!P17*(72*66 + 288*15 + 1654*50 + 0.15*50))</f>
        <v>57.41595306341712</v>
      </c>
      <c r="G16">
        <f>((('Material Production'!$O$15*0.1)*0.3)/55.42)*'Construction Phase'!D16 + ((('Material Production'!$O$15*0.1)*0.7)/15.83)*'Construction Phase'!E16 + ('Component Volume'!$O$2*Material_Inventory!P17*(360*66 + 703*15 + 1193*26 + 100*249 + 0.15*50))</f>
        <v>3.9937841217676371</v>
      </c>
      <c r="H16">
        <f>((('Material Production'!$P$15*0.1)*0.3)/55.42)*'Construction Phase'!D16 + ((('Material Production'!$P$15*0.1)*0.7)/15.83)*'Construction Phase'!E16 + ('Component Volume'!$P$2*Material_Inventory!P17*(360*66 + 703*15 + 1193*26 + 100*249 + 0.15*50))</f>
        <v>8.6544834452165738</v>
      </c>
      <c r="I16">
        <f>((('Material Production'!$Q$15*0.1)*0.3)/55.42)*'Construction Phase'!D16 + ((('Material Production'!$Q$15*0.1)*0.7)/15.83)*'Construction Phase'!E16 + ('Component Volume'!$Q$2*Material_Inventory!P17*(360*66 + 703*15 + 1193*26 + 100*249 + 0.15*50))</f>
        <v>3.8198137304313402</v>
      </c>
      <c r="J16">
        <f>((('Material Production'!$R$15*0.1)*0.3)/55.42)*'Construction Phase'!D16 + ((('Material Production'!$R$15*0.1)*0.7)/15.83)*'Construction Phase'!E16 + ('Component Volume'!$R$2*Material_Inventory!P17*(1000*26 + 542.5*50 + 200*50 + 0.15*50))</f>
        <v>0.50312113003016767</v>
      </c>
      <c r="K16">
        <f>((('Material Production'!$S$15*0.1)*0.3)/55.42)*'Construction Phase'!D16 + ((('Material Production'!$S$15*0.1)*0.7)/15.83)*'Construction Phase'!E16 + ('Component Volume'!$S$2*Material_Inventory!P17*(1000*26 + 542.5*50 + 200*50 + 0.15*50))</f>
        <v>0.69577540240503488</v>
      </c>
      <c r="L16">
        <f>((('Material Production'!$T$15*0.1)*0.3)/55.42)*'Construction Phase'!D16 + ((('Material Production'!$T$15*0.1)*0.7)/15.83)*'Construction Phase'!E16 + ('Component Volume'!$T$2*Material_Inventory!P17*(360*66 + 703*15 + 1193*26 + 100*249 + 0.15*50))</f>
        <v>20.02434345466461</v>
      </c>
      <c r="M16">
        <f>((('Material Production'!$U$15*0.1)*0.3)/55.42)*'Construction Phase'!D16 + ((('Material Production'!$U$15*0.1)*0.7)/15.83)*'Construction Phase'!E16 + ('Component Volume'!$U$2*Material_Inventory!P17*(360*66 + 703*15 + 1193*26 + 100*249 + 0.15*50))</f>
        <v>8.4544713195300858</v>
      </c>
    </row>
    <row r="17" spans="1:13" x14ac:dyDescent="0.25">
      <c r="A17" s="4" t="s">
        <v>28</v>
      </c>
      <c r="B17" s="4" t="s">
        <v>26</v>
      </c>
      <c r="D17">
        <v>55.425306886166382</v>
      </c>
      <c r="E17">
        <v>15.837890592026991</v>
      </c>
      <c r="F17">
        <f>((('Material Production'!$N$15*0.1)*0.3)/55.42)*'Construction Phase'!D17 + ((('Material Production'!$N$15*0.1)*0.7)/15.83)*'Construction Phase'!E17 + ('Component Volume'!$N$2*Material_Inventory!P18*(72*66 + 288*15 + 1654*50 + 0.15*50))</f>
        <v>2680462.7720191758</v>
      </c>
      <c r="G17">
        <f>((('Material Production'!$O$15*0.1)*0.3)/55.42)*'Construction Phase'!D17 + ((('Material Production'!$O$15*0.1)*0.7)/15.83)*'Construction Phase'!E17 + ('Component Volume'!$O$2*Material_Inventory!P18*(360*66 + 703*15 + 1193*26 + 100*249 + 0.15*50))</f>
        <v>194183.61729195475</v>
      </c>
      <c r="H17">
        <f>((('Material Production'!$P$15*0.1)*0.3)/55.42)*'Construction Phase'!D17 + ((('Material Production'!$P$15*0.1)*0.7)/15.83)*'Construction Phase'!E17 + ('Component Volume'!$P$2*Material_Inventory!P18*(360*66 + 703*15 + 1193*26 + 100*249 + 0.15*50))</f>
        <v>420793.62578107568</v>
      </c>
      <c r="I17">
        <f>((('Material Production'!$Q$15*0.1)*0.3)/55.42)*'Construction Phase'!D17 + ((('Material Production'!$Q$15*0.1)*0.7)/15.83)*'Construction Phase'!E17 + ('Component Volume'!$Q$2*Material_Inventory!P18*(360*66 + 703*15 + 1193*26 + 100*249 + 0.15*50))</f>
        <v>185724.9227653144</v>
      </c>
      <c r="J17">
        <f>((('Material Production'!$R$15*0.1)*0.3)/55.42)*'Construction Phase'!D17 + ((('Material Production'!$R$15*0.1)*0.7)/15.83)*'Construction Phase'!E17 + ('Component Volume'!$R$2*Material_Inventory!P18*(1000*26 + 542.5*50 + 200*50 + 0.15*50))</f>
        <v>37070.205801171542</v>
      </c>
      <c r="K17">
        <f>((('Material Production'!$S$15*0.1)*0.3)/55.42)*'Construction Phase'!D17 + ((('Material Production'!$S$15*0.1)*0.7)/15.83)*'Construction Phase'!E17 + ('Component Volume'!$S$2*Material_Inventory!P18*(1000*26 + 542.5*50 + 200*50 + 0.15*50))</f>
        <v>51265.064850289717</v>
      </c>
      <c r="L17">
        <f>((('Material Production'!$T$15*0.1)*0.3)/55.42)*'Construction Phase'!D17 + ((('Material Production'!$T$15*0.1)*0.7)/15.83)*'Construction Phase'!E17 + ('Component Volume'!$T$2*Material_Inventory!P18*(360*66 + 703*15 + 1193*26 + 100*249 + 0.15*50))</f>
        <v>973612.82617405429</v>
      </c>
      <c r="M17">
        <f>((('Material Production'!$U$15*0.1)*0.3)/55.42)*'Construction Phase'!D17 + ((('Material Production'!$U$15*0.1)*0.7)/15.83)*'Construction Phase'!E17 + ('Component Volume'!$U$2*Material_Inventory!P18*(360*66 + 703*15 + 1193*26 + 100*249 + 0.15*50))</f>
        <v>411068.74409396411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E61C-D678-42DD-9206-00A5022B2EFE}">
  <sheetPr codeName="Sheet5"/>
  <dimension ref="A1:N28"/>
  <sheetViews>
    <sheetView tabSelected="1" topLeftCell="A3" workbookViewId="0">
      <selection activeCell="S22" sqref="S22"/>
    </sheetView>
  </sheetViews>
  <sheetFormatPr defaultRowHeight="15" x14ac:dyDescent="0.25"/>
  <cols>
    <col min="7" max="7" width="7.42578125" customWidth="1"/>
    <col min="8" max="8" width="2.7109375" customWidth="1"/>
    <col min="9" max="9" width="3" customWidth="1"/>
    <col min="10" max="10" width="10.7109375" bestFit="1" customWidth="1"/>
    <col min="11" max="11" width="10.85546875" customWidth="1"/>
    <col min="12" max="13" width="10.42578125" customWidth="1"/>
  </cols>
  <sheetData>
    <row r="1" spans="1:14" ht="24" x14ac:dyDescent="0.4">
      <c r="A1" s="9" t="s">
        <v>79</v>
      </c>
      <c r="K1" s="8" t="s">
        <v>83</v>
      </c>
    </row>
    <row r="2" spans="1:14" x14ac:dyDescent="0.25">
      <c r="E2" t="s">
        <v>134</v>
      </c>
    </row>
    <row r="3" spans="1:14" x14ac:dyDescent="0.25">
      <c r="D3" t="s">
        <v>60</v>
      </c>
      <c r="E3" t="s">
        <v>135</v>
      </c>
      <c r="F3" t="s">
        <v>34</v>
      </c>
      <c r="K3" s="10" t="s">
        <v>80</v>
      </c>
      <c r="L3" s="10" t="s">
        <v>304</v>
      </c>
      <c r="M3" s="10" t="s">
        <v>81</v>
      </c>
      <c r="N3" s="10" t="s">
        <v>305</v>
      </c>
    </row>
    <row r="4" spans="1:14" ht="15.75" x14ac:dyDescent="0.25">
      <c r="D4" t="s">
        <v>77</v>
      </c>
      <c r="E4" t="s">
        <v>38</v>
      </c>
      <c r="F4" t="s">
        <v>39</v>
      </c>
      <c r="J4" s="11" t="s">
        <v>84</v>
      </c>
      <c r="K4">
        <v>488397</v>
      </c>
      <c r="L4">
        <v>1617</v>
      </c>
      <c r="M4">
        <v>6865650</v>
      </c>
    </row>
    <row r="5" spans="1:14" x14ac:dyDescent="0.25">
      <c r="A5" s="5" t="s">
        <v>9</v>
      </c>
      <c r="B5" s="5" t="s">
        <v>10</v>
      </c>
      <c r="N5" t="s">
        <v>120</v>
      </c>
    </row>
    <row r="6" spans="1:14" x14ac:dyDescent="0.25">
      <c r="A6" s="4" t="s">
        <v>12</v>
      </c>
      <c r="B6" s="4" t="s">
        <v>13</v>
      </c>
      <c r="D6">
        <v>4.3500635364187032E-3</v>
      </c>
      <c r="E6">
        <v>2.2029734476868294E-3</v>
      </c>
      <c r="F6">
        <v>5.07785846428002E-6</v>
      </c>
      <c r="K6">
        <f>('Operational Phase'!$K$4)*'Operational Phase'!D6*50</f>
        <v>106227.89904981428</v>
      </c>
      <c r="L6">
        <f>('Operational Phase'!$L$4)*'Operational Phase'!E6*50</f>
        <v>178.11040324548014</v>
      </c>
      <c r="M6">
        <f>('Operational Phase'!$M$4)*'Operational Phase'!F6 * 50</f>
        <v>1743.1399482642059</v>
      </c>
    </row>
    <row r="7" spans="1:14" x14ac:dyDescent="0.25">
      <c r="A7" s="4" t="s">
        <v>15</v>
      </c>
      <c r="B7" s="4" t="s">
        <v>16</v>
      </c>
      <c r="D7">
        <v>1.1584529128085814</v>
      </c>
      <c r="E7">
        <v>0.81654675048260195</v>
      </c>
      <c r="F7">
        <v>1.3512832393220771E-3</v>
      </c>
      <c r="K7">
        <f>('Operational Phase'!$K$4)*'Operational Phase'!D7*50</f>
        <v>28289246.362848639</v>
      </c>
      <c r="L7">
        <f>('Operational Phase'!$L$4)*'Operational Phase'!E7*50</f>
        <v>66017.804776518373</v>
      </c>
      <c r="M7">
        <f>('Operational Phase'!$M$4)*'Operational Phase'!F7 * 50</f>
        <v>463871.88860258093</v>
      </c>
      <c r="N7">
        <f>L7+M7</f>
        <v>529889.69337909925</v>
      </c>
    </row>
    <row r="8" spans="1:14" x14ac:dyDescent="0.25">
      <c r="A8" s="4" t="s">
        <v>41</v>
      </c>
      <c r="B8" s="4" t="s">
        <v>17</v>
      </c>
      <c r="D8">
        <v>0.63833956124835467</v>
      </c>
      <c r="E8">
        <v>0.3765869920835842</v>
      </c>
      <c r="F8">
        <v>1.1117168736433456E-3</v>
      </c>
      <c r="K8">
        <f>('Operational Phase'!$K$4)*'Operational Phase'!D8*50</f>
        <v>15588156.334750634</v>
      </c>
      <c r="L8">
        <f>('Operational Phase'!$L$4)*'Operational Phase'!E8*50</f>
        <v>30447.058309957782</v>
      </c>
      <c r="M8">
        <f>('Operational Phase'!$M$4)*'Operational Phase'!F8 * 50</f>
        <v>381632.94767647178</v>
      </c>
    </row>
    <row r="9" spans="1:14" x14ac:dyDescent="0.25">
      <c r="A9" s="4" t="s">
        <v>43</v>
      </c>
      <c r="B9" s="4" t="s">
        <v>17</v>
      </c>
      <c r="D9">
        <v>2216.615863814633</v>
      </c>
      <c r="E9">
        <v>683.55168753346027</v>
      </c>
      <c r="F9">
        <v>2.6864710036334105</v>
      </c>
      <c r="K9">
        <f>('Operational Phase'!$K$4)*'Operational Phase'!D9*50</f>
        <v>54129426901.97377</v>
      </c>
      <c r="L9">
        <f>('Operational Phase'!$L$4)*'Operational Phase'!E9*50</f>
        <v>55265153.937080257</v>
      </c>
      <c r="M9">
        <f>('Operational Phase'!$M$4)*'Operational Phase'!F9 * 50</f>
        <v>922218482.30478632</v>
      </c>
    </row>
    <row r="10" spans="1:14" x14ac:dyDescent="0.25">
      <c r="A10" s="4" t="s">
        <v>45</v>
      </c>
      <c r="B10" s="4" t="s">
        <v>17</v>
      </c>
      <c r="D10">
        <v>2.3073608199474746E-3</v>
      </c>
      <c r="E10">
        <v>3.6006643023998031E-3</v>
      </c>
      <c r="F10">
        <v>7.8263533968454779E-6</v>
      </c>
      <c r="K10">
        <f>('Operational Phase'!$K$4)*'Operational Phase'!D10*50</f>
        <v>56345.405118994335</v>
      </c>
      <c r="L10">
        <f>('Operational Phase'!$L$4)*'Operational Phase'!E10*50</f>
        <v>291.11370884902408</v>
      </c>
      <c r="M10">
        <f>('Operational Phase'!$M$4)*'Operational Phase'!F10 * 50</f>
        <v>2686.6501599526077</v>
      </c>
    </row>
    <row r="11" spans="1:14" x14ac:dyDescent="0.25">
      <c r="A11" s="4" t="s">
        <v>47</v>
      </c>
      <c r="B11" s="4" t="s">
        <v>48</v>
      </c>
      <c r="D11">
        <v>13.369485711507268</v>
      </c>
      <c r="E11">
        <v>57.887939816567716</v>
      </c>
      <c r="F11">
        <v>1.5776950311669521E-2</v>
      </c>
      <c r="K11">
        <f>('Operational Phase'!$K$4)*'Operational Phase'!D11*50</f>
        <v>326480835.65215075</v>
      </c>
      <c r="L11">
        <f>('Operational Phase'!$L$4)*'Operational Phase'!E11*50</f>
        <v>4680239.9341694992</v>
      </c>
      <c r="M11">
        <f>('Operational Phase'!$M$4)*'Operational Phase'!F11 * 50</f>
        <v>5415950.9453656925</v>
      </c>
    </row>
    <row r="12" spans="1:14" x14ac:dyDescent="0.25">
      <c r="A12" s="4" t="s">
        <v>19</v>
      </c>
      <c r="B12" s="4" t="s">
        <v>20</v>
      </c>
      <c r="D12">
        <v>3.6855529726857713E-3</v>
      </c>
      <c r="E12">
        <v>4.920600086572061E-3</v>
      </c>
      <c r="F12">
        <v>9.4491850390688423E-5</v>
      </c>
      <c r="K12">
        <f>('Operational Phase'!$K$4)*'Operational Phase'!D12*50</f>
        <v>90000.650760040633</v>
      </c>
      <c r="L12">
        <f>('Operational Phase'!$L$4)*'Operational Phase'!E12*50</f>
        <v>397.83051699935118</v>
      </c>
      <c r="M12">
        <f>('Operational Phase'!$M$4)*'Operational Phase'!F12 * 50</f>
        <v>32437.398631741497</v>
      </c>
    </row>
    <row r="13" spans="1:14" x14ac:dyDescent="0.25">
      <c r="A13" s="4" t="s">
        <v>22</v>
      </c>
      <c r="B13" s="4" t="s">
        <v>17</v>
      </c>
      <c r="D13">
        <v>0.65880114074370899</v>
      </c>
      <c r="E13">
        <v>0.50424092345976812</v>
      </c>
      <c r="F13">
        <v>1.389076928998255E-3</v>
      </c>
      <c r="K13">
        <f>('Operational Phase'!$K$4)*'Operational Phase'!D13*50</f>
        <v>16087825.036790263</v>
      </c>
      <c r="L13">
        <f>('Operational Phase'!$L$4)*'Operational Phase'!E13*50</f>
        <v>40767.87866172225</v>
      </c>
      <c r="M13">
        <f>('Operational Phase'!$M$4)*'Operational Phase'!F13 * 50</f>
        <v>476845.80087884353</v>
      </c>
    </row>
    <row r="14" spans="1:14" x14ac:dyDescent="0.25">
      <c r="A14" s="4" t="s">
        <v>50</v>
      </c>
      <c r="B14" s="4" t="s">
        <v>51</v>
      </c>
      <c r="D14">
        <v>1.4674131875094007E-6</v>
      </c>
      <c r="E14">
        <v>-7.2615306374132696E-7</v>
      </c>
      <c r="F14">
        <v>-2.8512439646706104E-9</v>
      </c>
      <c r="K14">
        <f>('Operational Phase'!$K$4)*'Operational Phase'!D14*50</f>
        <v>35.834009927001439</v>
      </c>
      <c r="L14">
        <f>('Operational Phase'!$L$4)*'Operational Phase'!E14*50</f>
        <v>-5.870947520348628E-2</v>
      </c>
      <c r="M14">
        <f>('Operational Phase'!$M$4)*'Operational Phase'!F14 * 50</f>
        <v>-0.9787821563020388</v>
      </c>
    </row>
    <row r="15" spans="1:14" x14ac:dyDescent="0.25">
      <c r="A15" s="4" t="s">
        <v>24</v>
      </c>
      <c r="B15" s="4" t="s">
        <v>25</v>
      </c>
      <c r="D15">
        <v>4.7276243035079973E-9</v>
      </c>
      <c r="E15">
        <v>7.2144664417158182E-8</v>
      </c>
      <c r="F15">
        <v>2.1334319966761102E-11</v>
      </c>
      <c r="K15">
        <f>('Operational Phase'!$K$4)*'Operational Phase'!D15*50</f>
        <v>0.11544787634801977</v>
      </c>
      <c r="L15">
        <f>('Operational Phase'!$L$4)*'Operational Phase'!E15*50</f>
        <v>5.8328961181272395E-3</v>
      </c>
      <c r="M15">
        <f>('Operational Phase'!$M$4)*'Operational Phase'!F15 * 50</f>
        <v>7.3236986939896687E-3</v>
      </c>
    </row>
    <row r="16" spans="1:14" x14ac:dyDescent="0.25">
      <c r="A16" s="4" t="s">
        <v>53</v>
      </c>
      <c r="B16" s="4" t="s">
        <v>54</v>
      </c>
      <c r="D16">
        <v>2.3859368594314451E-4</v>
      </c>
      <c r="E16">
        <v>2.5758681214070047E-4</v>
      </c>
      <c r="F16">
        <v>3.7661156600309649E-7</v>
      </c>
      <c r="K16">
        <f>('Operational Phase'!$K$4)*'Operational Phase'!D16*50</f>
        <v>5826.4220216786971</v>
      </c>
      <c r="L16">
        <f>('Operational Phase'!$L$4)*'Operational Phase'!E16*50</f>
        <v>20.825893761575635</v>
      </c>
      <c r="M16">
        <f>('Operational Phase'!$M$4)*'Operational Phase'!F16 * 50</f>
        <v>129.28415990645797</v>
      </c>
    </row>
    <row r="17" spans="1:13" x14ac:dyDescent="0.25">
      <c r="A17" s="4" t="s">
        <v>28</v>
      </c>
      <c r="B17" s="4" t="s">
        <v>26</v>
      </c>
      <c r="D17">
        <v>15.96590433484101</v>
      </c>
      <c r="E17">
        <v>65.448999999999998</v>
      </c>
      <c r="F17">
        <v>1.8655816253120516E-2</v>
      </c>
      <c r="K17">
        <f>('Operational Phase'!$K$4)*'Operational Phase'!D17*50</f>
        <v>389884988.97116727</v>
      </c>
      <c r="L17">
        <f>('Operational Phase'!$L$4)*'Operational Phase'!E17*50</f>
        <v>5291551.6499999994</v>
      </c>
      <c r="M17">
        <f>('Operational Phase'!$M$4)*'Operational Phase'!F17 * 50</f>
        <v>6404215.2429118436</v>
      </c>
    </row>
    <row r="21" spans="1:13" x14ac:dyDescent="0.25">
      <c r="E21" t="s">
        <v>265</v>
      </c>
      <c r="F21" t="s">
        <v>266</v>
      </c>
      <c r="G21" t="s">
        <v>269</v>
      </c>
      <c r="L21" t="s">
        <v>120</v>
      </c>
    </row>
    <row r="22" spans="1:13" ht="18.75" x14ac:dyDescent="0.3">
      <c r="E22" t="s">
        <v>260</v>
      </c>
      <c r="F22" s="20">
        <v>59.14</v>
      </c>
      <c r="G22">
        <f>F22/F$28</f>
        <v>3.3659263981058833E-2</v>
      </c>
      <c r="K22" t="s">
        <v>270</v>
      </c>
      <c r="L22">
        <f>G22+G23+G27</f>
        <v>0.56577045224300226</v>
      </c>
    </row>
    <row r="23" spans="1:13" ht="18.75" x14ac:dyDescent="0.3">
      <c r="E23" t="s">
        <v>261</v>
      </c>
      <c r="F23" s="20">
        <v>639.83000000000004</v>
      </c>
      <c r="G23">
        <f t="shared" ref="G23:G27" si="0">F23/F$28</f>
        <v>0.3641563556476306</v>
      </c>
      <c r="K23" t="s">
        <v>262</v>
      </c>
      <c r="L23">
        <f>G24</f>
        <v>0.22714596305107507</v>
      </c>
    </row>
    <row r="24" spans="1:13" ht="18.75" x14ac:dyDescent="0.3">
      <c r="E24" t="s">
        <v>262</v>
      </c>
      <c r="F24" s="20">
        <v>399.1</v>
      </c>
      <c r="G24">
        <f t="shared" si="0"/>
        <v>0.22714596305107507</v>
      </c>
      <c r="K24" t="s">
        <v>271</v>
      </c>
      <c r="L24">
        <f>G26</f>
        <v>3.8701892977882998E-4</v>
      </c>
    </row>
    <row r="25" spans="1:13" ht="18.75" x14ac:dyDescent="0.3">
      <c r="E25" t="s">
        <v>267</v>
      </c>
      <c r="F25" s="20">
        <v>363.17</v>
      </c>
      <c r="G25">
        <f t="shared" si="0"/>
        <v>0.20669656577614365</v>
      </c>
      <c r="H25" s="20"/>
      <c r="K25" t="s">
        <v>263</v>
      </c>
      <c r="L25">
        <f>G25+G27</f>
        <v>0.37465139839045647</v>
      </c>
    </row>
    <row r="26" spans="1:13" ht="18.75" x14ac:dyDescent="0.3">
      <c r="E26" t="s">
        <v>264</v>
      </c>
      <c r="F26" s="20">
        <v>0.68</v>
      </c>
      <c r="G26">
        <f t="shared" si="0"/>
        <v>3.8701892977882998E-4</v>
      </c>
    </row>
    <row r="27" spans="1:13" ht="18.75" x14ac:dyDescent="0.25">
      <c r="E27" t="s">
        <v>268</v>
      </c>
      <c r="F27" s="21">
        <v>295.10000000000002</v>
      </c>
      <c r="G27">
        <f t="shared" si="0"/>
        <v>0.16795483261431285</v>
      </c>
    </row>
    <row r="28" spans="1:13" x14ac:dyDescent="0.25">
      <c r="E28" t="s">
        <v>137</v>
      </c>
      <c r="F28">
        <f>SUM(F22:F27)</f>
        <v>1757.0200000000004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2079-3896-45A8-B38E-EBA0B06EF77E}">
  <sheetPr codeName="Sheet6"/>
  <dimension ref="A1:AI18"/>
  <sheetViews>
    <sheetView workbookViewId="0">
      <selection activeCell="I4" sqref="I4"/>
    </sheetView>
  </sheetViews>
  <sheetFormatPr defaultRowHeight="15" x14ac:dyDescent="0.25"/>
  <cols>
    <col min="12" max="12" width="12" bestFit="1" customWidth="1"/>
  </cols>
  <sheetData>
    <row r="1" spans="1:35" ht="24" x14ac:dyDescent="0.4">
      <c r="A1" s="9" t="s">
        <v>82</v>
      </c>
    </row>
    <row r="2" spans="1:35" x14ac:dyDescent="0.25">
      <c r="H2" t="s">
        <v>130</v>
      </c>
      <c r="I2" t="s">
        <v>130</v>
      </c>
      <c r="J2" t="s">
        <v>130</v>
      </c>
    </row>
    <row r="3" spans="1:35" x14ac:dyDescent="0.25">
      <c r="D3" t="s">
        <v>85</v>
      </c>
      <c r="E3" t="str">
        <f>Material_Inventory!P3</f>
        <v>233b8854-6ada-4e3e-a7ff-236b5561c45a</v>
      </c>
      <c r="F3" t="s">
        <v>86</v>
      </c>
      <c r="G3" t="s">
        <v>87</v>
      </c>
      <c r="H3" t="s">
        <v>128</v>
      </c>
      <c r="I3" t="s">
        <v>88</v>
      </c>
      <c r="J3" t="s">
        <v>89</v>
      </c>
      <c r="K3" t="s">
        <v>90</v>
      </c>
      <c r="L3" t="s">
        <v>91</v>
      </c>
      <c r="M3" t="s">
        <v>131</v>
      </c>
      <c r="N3" t="s">
        <v>92</v>
      </c>
      <c r="O3" t="s">
        <v>93</v>
      </c>
      <c r="P3" t="s">
        <v>94</v>
      </c>
      <c r="Q3" t="s">
        <v>68</v>
      </c>
      <c r="S3" t="s">
        <v>78</v>
      </c>
    </row>
    <row r="4" spans="1:35" ht="18.75" x14ac:dyDescent="0.3">
      <c r="D4" t="s">
        <v>30</v>
      </c>
      <c r="E4" t="str">
        <f>Material_Inventory!P4</f>
        <v>transport, tractor and trailer, agricultural | transport, tractor and trailer, agricultural | Consequential, S</v>
      </c>
      <c r="F4" t="s">
        <v>95</v>
      </c>
      <c r="G4" t="s">
        <v>96</v>
      </c>
      <c r="H4" t="s">
        <v>129</v>
      </c>
      <c r="I4" t="s">
        <v>97</v>
      </c>
      <c r="J4" t="s">
        <v>98</v>
      </c>
      <c r="K4" t="s">
        <v>99</v>
      </c>
      <c r="L4" t="s">
        <v>100</v>
      </c>
      <c r="M4" t="s">
        <v>101</v>
      </c>
      <c r="N4" t="s">
        <v>102</v>
      </c>
      <c r="O4" t="s">
        <v>103</v>
      </c>
      <c r="P4" t="s">
        <v>104</v>
      </c>
      <c r="Q4" t="s">
        <v>34</v>
      </c>
      <c r="R4" t="s">
        <v>78</v>
      </c>
      <c r="S4" s="6" t="s">
        <v>0</v>
      </c>
      <c r="T4" s="6" t="s">
        <v>1</v>
      </c>
      <c r="U4" s="6" t="s">
        <v>2</v>
      </c>
      <c r="V4" s="6" t="s">
        <v>3</v>
      </c>
      <c r="W4" s="6" t="s">
        <v>4</v>
      </c>
      <c r="X4" s="6" t="s">
        <v>5</v>
      </c>
      <c r="Y4" s="6" t="s">
        <v>6</v>
      </c>
      <c r="Z4" s="6" t="s">
        <v>7</v>
      </c>
      <c r="AB4" s="6" t="s">
        <v>0</v>
      </c>
      <c r="AC4" s="6" t="s">
        <v>1</v>
      </c>
      <c r="AD4" s="6" t="s">
        <v>2</v>
      </c>
      <c r="AE4" s="6" t="s">
        <v>3</v>
      </c>
      <c r="AF4" s="6" t="s">
        <v>4</v>
      </c>
      <c r="AG4" s="6" t="s">
        <v>5</v>
      </c>
      <c r="AH4" s="6" t="s">
        <v>6</v>
      </c>
      <c r="AI4" s="6" t="s">
        <v>7</v>
      </c>
    </row>
    <row r="5" spans="1:35" x14ac:dyDescent="0.25">
      <c r="D5" t="s">
        <v>31</v>
      </c>
      <c r="E5" t="str">
        <f>Material_Inventory!P5</f>
        <v>RoW</v>
      </c>
      <c r="F5" t="s">
        <v>38</v>
      </c>
      <c r="G5" t="s">
        <v>38</v>
      </c>
      <c r="H5" t="s">
        <v>38</v>
      </c>
      <c r="I5" t="s">
        <v>38</v>
      </c>
      <c r="J5" t="s">
        <v>38</v>
      </c>
      <c r="K5" t="s">
        <v>38</v>
      </c>
      <c r="L5" t="s">
        <v>38</v>
      </c>
      <c r="M5" t="s">
        <v>38</v>
      </c>
      <c r="N5" t="s">
        <v>38</v>
      </c>
      <c r="O5" t="s">
        <v>39</v>
      </c>
      <c r="P5" t="s">
        <v>38</v>
      </c>
      <c r="Q5" t="s">
        <v>39</v>
      </c>
      <c r="R5" t="s">
        <v>105</v>
      </c>
      <c r="AA5" t="s">
        <v>106</v>
      </c>
    </row>
    <row r="6" spans="1:35" x14ac:dyDescent="0.25">
      <c r="A6" t="s">
        <v>8</v>
      </c>
      <c r="B6" t="s">
        <v>9</v>
      </c>
      <c r="C6" t="s">
        <v>10</v>
      </c>
    </row>
    <row r="7" spans="1:35" x14ac:dyDescent="0.25">
      <c r="A7" t="s">
        <v>11</v>
      </c>
      <c r="B7" t="s">
        <v>12</v>
      </c>
      <c r="C7" t="s">
        <v>13</v>
      </c>
      <c r="E7">
        <v>2.1723678566187326E-6</v>
      </c>
      <c r="F7">
        <v>3.5114505892204638E-3</v>
      </c>
      <c r="G7">
        <v>0.11877638236790118</v>
      </c>
      <c r="H7">
        <v>4.1267267369867274E-4</v>
      </c>
      <c r="I7">
        <v>5.8096015837433267E-5</v>
      </c>
      <c r="J7">
        <v>8.1138416713544281E-5</v>
      </c>
      <c r="K7">
        <v>4.4600040171910564E-5</v>
      </c>
      <c r="L7">
        <v>4.4600040171910598E-5</v>
      </c>
      <c r="M7">
        <v>7.0474784821665342E-5</v>
      </c>
      <c r="N7">
        <v>-1.0266735138102119E-3</v>
      </c>
      <c r="O7">
        <v>3.4971276064562387E-4</v>
      </c>
      <c r="P7">
        <v>1.7764941970663337E-4</v>
      </c>
      <c r="Q7">
        <v>5.0778584642800208E-6</v>
      </c>
      <c r="S7">
        <f>'Demolition Phase'!E7 * 2057.35 * 50 + 'Demolition Phase'!F7 + 'Demolition Phase'!I7 * 1654 + 'Demolition Phase'!L7 * (72 + 288) + 'Demolition Phase'!N7 * 0.15</f>
        <v>0.33897032470987881</v>
      </c>
      <c r="T7">
        <f>'Demolition Phase'!E7 * 2489.15 * 50 + 'Demolition Phase'!F7 + 'Demolition Phase'!K7 * (360 + 100 + 1193 + 703) + 'Demolition Phase'!N7 * 0.15</f>
        <v>0.37880261672229609</v>
      </c>
      <c r="U7">
        <f>'Demolition Phase'!E7 * 2489.15 * 50 + 'Demolition Phase'!F7 + 'Demolition Phase'!K7 * (360 + 100 + 1193 + 703) + 'Demolition Phase'!N7 * 0.15</f>
        <v>0.37880261672229609</v>
      </c>
      <c r="V7">
        <f>'Demolition Phase'!E7 * 2489.15 * 50 + 'Demolition Phase'!F7 + 'Demolition Phase'!K7 * (360 + 100 + 1193 + 703) + 'Demolition Phase'!N7 * 0.15</f>
        <v>0.37880261672229609</v>
      </c>
      <c r="W7">
        <f>'Demolition Phase'!E7 * 1792.65 * 50 + 'Demolition Phase'!F7 + 'Demolition Phase'!M7 * 1000 + 'Demolition Phase'!P7 * 542.5 + 'Demolition Phase'!O7 * 200 + 'Demolition Phase'!N7 * 0.15</f>
        <v>0.43486435861216621</v>
      </c>
      <c r="X7">
        <f>'Demolition Phase'!E7 * 1792.65 * 50 + 'Demolition Phase'!F7 + 'Demolition Phase'!M7 * 1000 + 'Demolition Phase'!P7 * 542.5 + 'Demolition Phase'!O7 * 200 + 'Demolition Phase'!N7 * 0.15</f>
        <v>0.43486435861216621</v>
      </c>
      <c r="Y7">
        <f>'Demolition Phase'!E7 * 2489.15 * 50 + 'Demolition Phase'!F7 + 'Demolition Phase'!K7 * (360 + 100 + 1193 + 703) + 'Demolition Phase'!N7 * 0.15</f>
        <v>0.37880261672229609</v>
      </c>
      <c r="Z7">
        <f>'Demolition Phase'!E7 * 2489.15 * 50 + 'Demolition Phase'!F7 + 'Demolition Phase'!K7 * (360 + 100 + 1193 + 703) + 'Demolition Phase'!N7 * 0.15</f>
        <v>0.37880261672229609</v>
      </c>
      <c r="AB7">
        <f>('Demolition Phase'!S7)*('Component Volume'!$N$2)</f>
        <v>814.70995183479033</v>
      </c>
      <c r="AC7">
        <f>('Demolition Phase'!T7)*('Component Volume'!$O$2)</f>
        <v>60.834029862395752</v>
      </c>
      <c r="AD7">
        <f>('Demolition Phase'!U7)*('Component Volume'!$P$2)</f>
        <v>131.82663065846759</v>
      </c>
      <c r="AE7">
        <f>('Demolition Phase'!V7)*('Component Volume'!$Q$2)</f>
        <v>58.184081928544785</v>
      </c>
      <c r="AF7">
        <f>('Demolition Phase'!W7)*('Component Volume'!$R$2)</f>
        <v>2.9913077899274985</v>
      </c>
      <c r="AG7">
        <f>('Demolition Phase'!X7)*('Component Volume'!$S$2)</f>
        <v>4.1367341918820326</v>
      </c>
      <c r="AH7">
        <f>('Demolition Phase'!Y7)*('Component Volume'!$T$2)</f>
        <v>305.01435995413323</v>
      </c>
      <c r="AI7">
        <f>('Demolition Phase'!Z7)*('Component Volume'!$U$2)</f>
        <v>128.78001039661234</v>
      </c>
    </row>
    <row r="8" spans="1:35" x14ac:dyDescent="0.25">
      <c r="A8" t="s">
        <v>14</v>
      </c>
      <c r="B8" t="s">
        <v>15</v>
      </c>
      <c r="C8" t="s">
        <v>16</v>
      </c>
      <c r="E8">
        <f>Material_Inventory!P8</f>
        <v>4.2018938695902289E-4</v>
      </c>
      <c r="F8">
        <v>0.56572040219781361</v>
      </c>
      <c r="G8">
        <v>1.9952305982338916</v>
      </c>
      <c r="H8">
        <v>6.6072946537369504E-2</v>
      </c>
      <c r="I8">
        <v>1.1851746014050646E-2</v>
      </c>
      <c r="J8">
        <v>1.6770373645862816E-2</v>
      </c>
      <c r="K8">
        <v>9.2777755862433788E-3</v>
      </c>
      <c r="L8">
        <v>1.25726430345107E-2</v>
      </c>
      <c r="M8">
        <v>2.4362349723185801E-2</v>
      </c>
      <c r="N8">
        <v>0.64721833612677615</v>
      </c>
      <c r="O8">
        <v>0.13768187883090441</v>
      </c>
      <c r="P8">
        <v>3.6963572454238397E-2</v>
      </c>
      <c r="Q8">
        <v>1.3512832393220769E-3</v>
      </c>
      <c r="S8">
        <f>'Demolition Phase'!E8 * 2057.35 * 50 + 'Demolition Phase'!F8 + 'Demolition Phase'!I8 * 1654 + 'Demolition Phase'!L8 * (72 + 288) + 'Demolition Phase'!N8 * 0.15</f>
        <v>68.015574315287736</v>
      </c>
      <c r="T8">
        <f>'Demolition Phase'!E8 * 2489.15 * 50 + 'Demolition Phase'!F8 + 'Demolition Phase'!K8 * (360 + 100 + 1193 + 703) + 'Demolition Phase'!N8 * 0.15</f>
        <v>74.816963061258818</v>
      </c>
      <c r="U8">
        <f>'Demolition Phase'!E8 * 2489.15 * 50 + 'Demolition Phase'!F8 + 'Demolition Phase'!K8 * (360 + 100 + 1193 + 703) + 'Demolition Phase'!N8 * 0.15</f>
        <v>74.816963061258818</v>
      </c>
      <c r="V8">
        <f>'Demolition Phase'!E8 * 2489.15 * 50 + 'Demolition Phase'!F8 + 'Demolition Phase'!K8 * (360 + 100 + 1193 + 703) + 'Demolition Phase'!N8 * 0.15</f>
        <v>74.816963061258818</v>
      </c>
      <c r="W8">
        <f>'Demolition Phase'!E8 * 1792.65 * 50 + 'Demolition Phase'!F8 + 'Demolition Phase'!M8 * 1000 + 'Demolition Phase'!P8 * 542.5 + 'Demolition Phase'!O8 * 200 + 'Demolition Phase'!N8 * 0.15</f>
        <v>110.27689192501246</v>
      </c>
      <c r="X8">
        <f>'Demolition Phase'!E8 * 1792.65 * 50 + 'Demolition Phase'!F8 + 'Demolition Phase'!M8 * 1000 + 'Demolition Phase'!P8 * 542.5 + 'Demolition Phase'!O8 * 200 + 'Demolition Phase'!N8 * 0.15</f>
        <v>110.27689192501246</v>
      </c>
      <c r="Y8">
        <f>'Demolition Phase'!E8 * 2489.15 * 50 + 'Demolition Phase'!F8 + 'Demolition Phase'!K8 * (360 + 100 + 1193 + 703) + 'Demolition Phase'!N8 * 0.15</f>
        <v>74.816963061258818</v>
      </c>
      <c r="Z8">
        <f>'Demolition Phase'!E8 * 2489.15 * 50 + 'Demolition Phase'!F8 + 'Demolition Phase'!K8 * (360 + 100 + 1193 + 703) + 'Demolition Phase'!N8 * 0.15</f>
        <v>74.816963061258818</v>
      </c>
      <c r="AB8">
        <f>('Demolition Phase'!S8)*('Component Volume'!$N$2)</f>
        <v>163474.38473220644</v>
      </c>
      <c r="AC8">
        <f>('Demolition Phase'!T8)*('Component Volume'!$O$2)</f>
        <v>12015.274351758419</v>
      </c>
      <c r="AD8">
        <f>('Demolition Phase'!U8)*('Component Volume'!$P$2)</f>
        <v>26036.958883246956</v>
      </c>
      <c r="AE8">
        <f>('Demolition Phase'!V8)*('Component Volume'!$Q$2)</f>
        <v>11491.885526209375</v>
      </c>
      <c r="AF8">
        <f>('Demolition Phase'!W8)*('Component Volume'!$R$2)</f>
        <v>758.56326077640017</v>
      </c>
      <c r="AG8">
        <f>('Demolition Phase'!X8)*('Component Volume'!$S$2)</f>
        <v>1049.0309917707657</v>
      </c>
      <c r="AH8">
        <f>('Demolition Phase'!Y8)*('Component Volume'!$T$2)</f>
        <v>60243.11104105079</v>
      </c>
      <c r="AI8">
        <f>('Demolition Phase'!Z8)*('Component Volume'!$U$2)</f>
        <v>25435.223664083962</v>
      </c>
    </row>
    <row r="9" spans="1:35" x14ac:dyDescent="0.25">
      <c r="A9" t="s">
        <v>40</v>
      </c>
      <c r="B9" t="s">
        <v>41</v>
      </c>
      <c r="C9" t="s">
        <v>17</v>
      </c>
      <c r="E9">
        <f>Material_Inventory!P9</f>
        <v>3.3075153587319175E-4</v>
      </c>
      <c r="F9">
        <v>0.12804317995935136</v>
      </c>
      <c r="G9">
        <v>-769.86487555027077</v>
      </c>
      <c r="H9">
        <v>0.10094296037470005</v>
      </c>
      <c r="I9">
        <v>6.5807585077292006E-3</v>
      </c>
      <c r="J9">
        <v>2.3721867251350493E-2</v>
      </c>
      <c r="K9">
        <v>2.9400507062427557E-3</v>
      </c>
      <c r="L9">
        <v>6.4991147633683896E-3</v>
      </c>
      <c r="M9">
        <v>1.8184120193927414E-2</v>
      </c>
      <c r="N9">
        <v>1.2909413405583621</v>
      </c>
      <c r="O9">
        <v>2.9965539053977759E-2</v>
      </c>
      <c r="P9">
        <v>3.7221380421445897E-2</v>
      </c>
      <c r="Q9">
        <v>1.1117168736433454E-3</v>
      </c>
      <c r="S9">
        <f>'Demolition Phase'!E9 * 2057.35 * 50 + 'Demolition Phase'!F9 + 'Demolition Phase'!I9 * 1654 + 'Demolition Phase'!L9 * (72 + 288) + 'Demolition Phase'!N9 * 0.15</f>
        <v>47.56952388407538</v>
      </c>
      <c r="T9">
        <f>'Demolition Phase'!E9 * 2489.15 * 50 + 'Demolition Phase'!F9 + 'Demolition Phase'!K9 * (360 + 100 + 1193 + 703) + 'Demolition Phase'!N9 * 0.15</f>
        <v>48.412953120888801</v>
      </c>
      <c r="U9">
        <f>'Demolition Phase'!E9 * 2489.15 * 50 + 'Demolition Phase'!F9 + 'Demolition Phase'!K9 * (360 + 100 + 1193 + 703) + 'Demolition Phase'!N9 * 0.15</f>
        <v>48.412953120888801</v>
      </c>
      <c r="V9">
        <f>'Demolition Phase'!E9 * 2489.15 * 50 + 'Demolition Phase'!F9 + 'Demolition Phase'!K9 * (360 + 100 + 1193 + 703) + 'Demolition Phase'!N9 * 0.15</f>
        <v>48.412953120888801</v>
      </c>
      <c r="W9">
        <f>'Demolition Phase'!E9 * 1792.65 * 50 + 'Demolition Phase'!F9 + 'Demolition Phase'!M9 * 1000 + 'Demolition Phase'!P9 * 542.5 + 'Demolition Phase'!O9 * 200 + 'Demolition Phase'!N9 * 0.15</f>
        <v>74.33759830355433</v>
      </c>
      <c r="X9">
        <f>'Demolition Phase'!E9 * 1792.65 * 50 + 'Demolition Phase'!F9 + 'Demolition Phase'!M9 * 1000 + 'Demolition Phase'!P9 * 542.5 + 'Demolition Phase'!O9 * 200 + 'Demolition Phase'!N9 * 0.15</f>
        <v>74.33759830355433</v>
      </c>
      <c r="Y9">
        <f>'Demolition Phase'!E9 * 2489.15 * 50 + 'Demolition Phase'!F9 + 'Demolition Phase'!K9 * (360 + 100 + 1193 + 703) + 'Demolition Phase'!N9 * 0.15</f>
        <v>48.412953120888801</v>
      </c>
      <c r="Z9">
        <f>'Demolition Phase'!E9 * 2489.15 * 50 + 'Demolition Phase'!F9 + 'Demolition Phase'!K9 * (360 + 100 + 1193 + 703) + 'Demolition Phase'!N9 * 0.15</f>
        <v>48.412953120888801</v>
      </c>
      <c r="AB9">
        <f>('Demolition Phase'!S9)*('Component Volume'!$N$2)</f>
        <v>114332.6175988098</v>
      </c>
      <c r="AC9">
        <f>('Demolition Phase'!T9)*('Component Volume'!$O$2)</f>
        <v>7774.9067875157707</v>
      </c>
      <c r="AD9">
        <f>('Demolition Phase'!U9)*('Component Volume'!$P$2)</f>
        <v>16848.132004409847</v>
      </c>
      <c r="AE9">
        <f>('Demolition Phase'!V9)*('Component Volume'!$Q$2)</f>
        <v>7436.2295993685329</v>
      </c>
      <c r="AF9">
        <f>('Demolition Phase'!W9)*('Component Volume'!$R$2)</f>
        <v>511.34711890297945</v>
      </c>
      <c r="AG9">
        <f>('Demolition Phase'!X9)*('Component Volume'!$S$2)</f>
        <v>707.15127270055746</v>
      </c>
      <c r="AH9">
        <f>('Demolition Phase'!Y9)*('Component Volume'!$T$2)</f>
        <v>38982.428467443577</v>
      </c>
      <c r="AI9">
        <f>('Demolition Phase'!Z9)*('Component Volume'!$U$2)</f>
        <v>16458.758020696114</v>
      </c>
    </row>
    <row r="10" spans="1:35" x14ac:dyDescent="0.25">
      <c r="A10" t="s">
        <v>42</v>
      </c>
      <c r="B10" t="s">
        <v>43</v>
      </c>
      <c r="C10" t="s">
        <v>17</v>
      </c>
      <c r="E10">
        <f>Material_Inventory!P10</f>
        <v>0.64574543137277018</v>
      </c>
      <c r="F10">
        <v>174.74835041499136</v>
      </c>
      <c r="G10">
        <v>-125772.02017188472</v>
      </c>
      <c r="H10">
        <v>18.514539702141686</v>
      </c>
      <c r="I10">
        <v>8.6000663457254767</v>
      </c>
      <c r="J10">
        <v>24.687504366605818</v>
      </c>
      <c r="K10">
        <v>4.9695402268882285</v>
      </c>
      <c r="L10">
        <v>8.5815433294496799</v>
      </c>
      <c r="M10">
        <v>7.1255191777956961</v>
      </c>
      <c r="N10">
        <v>1062.9056524235043</v>
      </c>
      <c r="O10">
        <v>41.048113796020729</v>
      </c>
      <c r="P10">
        <v>51.818770089242136</v>
      </c>
      <c r="Q10">
        <v>2.6864710036334101</v>
      </c>
      <c r="S10">
        <f>'Demolition Phase'!E10 * 2057.35 * 50 + 'Demolition Phase'!F10 + 'Demolition Phase'!I10 * 1654 + 'Demolition Phase'!L10 * (72 + 288) + 'Demolition Phase'!N10 * 0.15</f>
        <v>84074.267694448776</v>
      </c>
      <c r="T10">
        <f>'Demolition Phase'!E10 * 2489.15 * 50 + 'Demolition Phase'!F10 + 'Demolition Phase'!K10 * (360 + 100 + 1193 + 703) + 'Demolition Phase'!N10 * 0.15</f>
        <v>92410.28299790372</v>
      </c>
      <c r="U10">
        <f>'Demolition Phase'!E10 * 2489.15 * 50 + 'Demolition Phase'!F10 + 'Demolition Phase'!K10 * (360 + 100 + 1193 + 703) + 'Demolition Phase'!N10 * 0.15</f>
        <v>92410.28299790372</v>
      </c>
      <c r="V10">
        <f>'Demolition Phase'!E10 * 2489.15 * 50 + 'Demolition Phase'!F10 + 'Demolition Phase'!K10 * (360 + 100 + 1193 + 703) + 'Demolition Phase'!N10 * 0.15</f>
        <v>92410.28299790372</v>
      </c>
      <c r="W10">
        <f>'Demolition Phase'!E10 * 1792.65 * 50 + 'Demolition Phase'!F10 + 'Demolition Phase'!M10 * 1000 + 'Demolition Phase'!P10 * 542.5 + 'Demolition Phase'!O10 * 200 + 'Demolition Phase'!N10 * 0.15</f>
        <v>101660.78628621204</v>
      </c>
      <c r="X10">
        <f>'Demolition Phase'!E10 * 1792.65 * 50 + 'Demolition Phase'!F10 + 'Demolition Phase'!M10 * 1000 + 'Demolition Phase'!P10 * 542.5 + 'Demolition Phase'!O10 * 200 + 'Demolition Phase'!N10 * 0.15</f>
        <v>101660.78628621204</v>
      </c>
      <c r="Y10">
        <f>'Demolition Phase'!E10 * 2489.15 * 50 + 'Demolition Phase'!F10 + 'Demolition Phase'!K10 * (360 + 100 + 1193 + 703) + 'Demolition Phase'!N10 * 0.15</f>
        <v>92410.28299790372</v>
      </c>
      <c r="Z10">
        <f>'Demolition Phase'!E10 * 2489.15 * 50 + 'Demolition Phase'!F10 + 'Demolition Phase'!K10 * (360 + 100 + 1193 + 703) + 'Demolition Phase'!N10 * 0.15</f>
        <v>92410.28299790372</v>
      </c>
      <c r="AB10">
        <f>('Demolition Phase'!S10)*('Component Volume'!$N$2)</f>
        <v>202071206.80111089</v>
      </c>
      <c r="AC10">
        <f>('Demolition Phase'!T10)*('Component Volume'!$O$2)</f>
        <v>14840683.953374676</v>
      </c>
      <c r="AD10">
        <f>('Demolition Phase'!U10)*('Component Volume'!$P$2)</f>
        <v>32159588.418946862</v>
      </c>
      <c r="AE10">
        <f>('Demolition Phase'!V10)*('Component Volume'!$Q$2)</f>
        <v>14194219.468478037</v>
      </c>
      <c r="AF10">
        <f>('Demolition Phase'!W10)*('Component Volume'!$R$2)</f>
        <v>699295.52957296069</v>
      </c>
      <c r="AG10">
        <f>('Demolition Phase'!X10)*('Component Volume'!$S$2)</f>
        <v>967068.56350774714</v>
      </c>
      <c r="AH10">
        <f>('Demolition Phase'!Y10)*('Component Volume'!$T$2)</f>
        <v>74409368.038895294</v>
      </c>
      <c r="AI10">
        <f>('Demolition Phase'!Z10)*('Component Volume'!$U$2)</f>
        <v>31416354.269665394</v>
      </c>
    </row>
    <row r="11" spans="1:35" x14ac:dyDescent="0.25">
      <c r="A11" t="s">
        <v>44</v>
      </c>
      <c r="B11" t="s">
        <v>45</v>
      </c>
      <c r="C11" t="s">
        <v>17</v>
      </c>
      <c r="E11">
        <f>Material_Inventory!P11</f>
        <v>4.0781866390510122E-6</v>
      </c>
      <c r="F11">
        <v>8.7118435652648065E-4</v>
      </c>
      <c r="G11">
        <v>0.43996532590339504</v>
      </c>
      <c r="H11">
        <v>2.1093631760001191E-4</v>
      </c>
      <c r="I11">
        <v>4.7487976355268953E-5</v>
      </c>
      <c r="J11">
        <v>7.4997867542091659E-5</v>
      </c>
      <c r="K11">
        <v>4.0552683969847713E-5</v>
      </c>
      <c r="L11">
        <v>4.8399470757638202E-5</v>
      </c>
      <c r="M11">
        <v>0.15284590700462194</v>
      </c>
      <c r="N11">
        <v>4.6215008462969798E-4</v>
      </c>
      <c r="O11">
        <v>6.0765202425367001E-3</v>
      </c>
      <c r="P11">
        <v>1.909024078181339E-4</v>
      </c>
      <c r="Q11">
        <v>7.8263533968454796E-6</v>
      </c>
      <c r="S11">
        <f>'Demolition Phase'!E11 * 2057.35 * 50 + 'Demolition Phase'!F11 + 'Demolition Phase'!I11 * 1654 + 'Demolition Phase'!L11 * (72 + 288) + 'Demolition Phase'!N11 * 0.15</f>
        <v>0.51642229332616552</v>
      </c>
      <c r="T11">
        <f>'Demolition Phase'!E11 * 2489.15 * 50 + 'Demolition Phase'!F11 + 'Demolition Phase'!K11 * (360 + 100 + 1193 + 703) + 'Demolition Phase'!N11 * 0.15</f>
        <v>0.60404354393187343</v>
      </c>
      <c r="U11">
        <f>'Demolition Phase'!E11 * 2489.15 * 50 + 'Demolition Phase'!F11 + 'Demolition Phase'!K11 * (360 + 100 + 1193 + 703) + 'Demolition Phase'!N11 * 0.15</f>
        <v>0.60404354393187343</v>
      </c>
      <c r="V11">
        <f>'Demolition Phase'!E11 * 2489.15 * 50 + 'Demolition Phase'!F11 + 'Demolition Phase'!K11 * (360 + 100 + 1193 + 703) + 'Demolition Phase'!N11 * 0.15</f>
        <v>0.60404354393187343</v>
      </c>
      <c r="W11">
        <f>'Demolition Phase'!E11 * 1792.65 * 50 + 'Demolition Phase'!F11 + 'Demolition Phase'!M11 * 1000 + 'Demolition Phase'!P11 * 542.5 + 'Demolition Phase'!O11 * 200 + 'Demolition Phase'!N11 * 0.15</f>
        <v>154.53125418016458</v>
      </c>
      <c r="X11">
        <f>'Demolition Phase'!E11 * 1792.65 * 50 + 'Demolition Phase'!F11 + 'Demolition Phase'!M11 * 1000 + 'Demolition Phase'!P11 * 542.5 + 'Demolition Phase'!O11 * 200 + 'Demolition Phase'!N11 * 0.15</f>
        <v>154.53125418016458</v>
      </c>
      <c r="Y11">
        <f>'Demolition Phase'!E11 * 2489.15 * 50 + 'Demolition Phase'!F11 + 'Demolition Phase'!K11 * (360 + 100 + 1193 + 703) + 'Demolition Phase'!N11 * 0.15</f>
        <v>0.60404354393187343</v>
      </c>
      <c r="Z11">
        <f>'Demolition Phase'!E11 * 2489.15 * 50 + 'Demolition Phase'!F11 + 'Demolition Phase'!K11 * (360 + 100 + 1193 + 703) + 'Demolition Phase'!N11 * 0.15</f>
        <v>0.60404354393187343</v>
      </c>
      <c r="AB11">
        <f>('Demolition Phase'!S11)*('Component Volume'!$N$2)</f>
        <v>1241.2130238311406</v>
      </c>
      <c r="AC11">
        <f>('Demolition Phase'!T11)*('Component Volume'!$O$2)</f>
        <v>97.006729540831273</v>
      </c>
      <c r="AD11">
        <f>('Demolition Phase'!U11)*('Component Volume'!$P$2)</f>
        <v>210.2124474655246</v>
      </c>
      <c r="AE11">
        <f>('Demolition Phase'!V11)*('Component Volume'!$Q$2)</f>
        <v>92.781088347935921</v>
      </c>
      <c r="AF11">
        <f>('Demolition Phase'!W11)*('Component Volume'!$R$2)</f>
        <v>1062.976386226793</v>
      </c>
      <c r="AG11">
        <f>('Demolition Phase'!X11)*('Component Volume'!$S$2)</f>
        <v>1470.0094643801781</v>
      </c>
      <c r="AH11">
        <f>('Demolition Phase'!Y11)*('Component Volume'!$T$2)</f>
        <v>486.37983689504529</v>
      </c>
      <c r="AI11">
        <f>('Demolition Phase'!Z11)*('Component Volume'!$U$2)</f>
        <v>205.35426745634368</v>
      </c>
    </row>
    <row r="12" spans="1:35" x14ac:dyDescent="0.25">
      <c r="A12" t="s">
        <v>46</v>
      </c>
      <c r="B12" t="s">
        <v>47</v>
      </c>
      <c r="C12" t="s">
        <v>48</v>
      </c>
      <c r="E12">
        <f>Material_Inventory!P12</f>
        <v>5.0645437482857237E-3</v>
      </c>
      <c r="F12">
        <v>7.491060274525867</v>
      </c>
      <c r="G12">
        <v>23.288391412890068</v>
      </c>
      <c r="H12">
        <v>0.96526467739844002</v>
      </c>
      <c r="I12">
        <v>0.19280206480776033</v>
      </c>
      <c r="J12">
        <v>0.27513308935710834</v>
      </c>
      <c r="K12">
        <v>0.19866203580604602</v>
      </c>
      <c r="L12">
        <v>0.20247341043879699</v>
      </c>
      <c r="M12">
        <v>0.13305055328216395</v>
      </c>
      <c r="N12">
        <v>0.10110364552807338</v>
      </c>
      <c r="O12">
        <v>0.1834191884325351</v>
      </c>
      <c r="P12">
        <v>0.53989909396905711</v>
      </c>
      <c r="Q12">
        <v>1.5776950311669521E-2</v>
      </c>
      <c r="S12">
        <f>'Demolition Phase'!E12 * 2057.35 * 50 + 'Demolition Phase'!F12 + 'Demolition Phase'!I12 * 1654 + 'Demolition Phase'!L12 * (72 + 288) + 'Demolition Phase'!N12 * 0.15</f>
        <v>920.26822279813916</v>
      </c>
      <c r="T12">
        <f>'Demolition Phase'!E12 * 2489.15 * 50 + 'Demolition Phase'!F12 + 'Demolition Phase'!K12 * (360 + 100 + 1193 + 703) + 'Demolition Phase'!N12 * 0.15</f>
        <v>1105.87443573267</v>
      </c>
      <c r="U12">
        <f>'Demolition Phase'!E12 * 2489.15 * 50 + 'Demolition Phase'!F12 + 'Demolition Phase'!K12 * (360 + 100 + 1193 + 703) + 'Demolition Phase'!N12 * 0.15</f>
        <v>1105.87443573267</v>
      </c>
      <c r="V12">
        <f>'Demolition Phase'!E12 * 2489.15 * 50 + 'Demolition Phase'!F12 + 'Demolition Phase'!K12 * (360 + 100 + 1193 + 703) + 'Demolition Phase'!N12 * 0.15</f>
        <v>1105.87443573267</v>
      </c>
      <c r="W12">
        <f>'Demolition Phase'!E12 * 1792.65 * 50 + 'Demolition Phase'!F12 + 'Demolition Phase'!M12 * 1000 + 'Demolition Phase'!P12 * 542.5 + 'Demolition Phase'!O12 * 200 + 'Demolition Phase'!N12 * 0.15</f>
        <v>924.08359278645969</v>
      </c>
      <c r="X12">
        <f>'Demolition Phase'!E12 * 1792.65 * 50 + 'Demolition Phase'!F12 + 'Demolition Phase'!M12 * 1000 + 'Demolition Phase'!P12 * 542.5 + 'Demolition Phase'!O12 * 200 + 'Demolition Phase'!N12 * 0.15</f>
        <v>924.08359278645969</v>
      </c>
      <c r="Y12">
        <f>'Demolition Phase'!E12 * 2489.15 * 50 + 'Demolition Phase'!F12 + 'Demolition Phase'!K12 * (360 + 100 + 1193 + 703) + 'Demolition Phase'!N12 * 0.15</f>
        <v>1105.87443573267</v>
      </c>
      <c r="Z12">
        <f>'Demolition Phase'!E12 * 2489.15 * 50 + 'Demolition Phase'!F12 + 'Demolition Phase'!K12 * (360 + 100 + 1193 + 703) + 'Demolition Phase'!N12 * 0.15</f>
        <v>1105.87443573267</v>
      </c>
      <c r="AB12">
        <f>('Demolition Phase'!S12)*('Component Volume'!$N$2)</f>
        <v>2211850.4919646424</v>
      </c>
      <c r="AC12">
        <f>('Demolition Phase'!T12)*('Component Volume'!$O$2)</f>
        <v>177598.55787042019</v>
      </c>
      <c r="AD12">
        <f>('Demolition Phase'!U12)*('Component Volume'!$P$2)</f>
        <v>384853.99614028377</v>
      </c>
      <c r="AE12">
        <f>('Demolition Phase'!V12)*('Component Volume'!$Q$2)</f>
        <v>169862.31332853841</v>
      </c>
      <c r="AF12">
        <f>('Demolition Phase'!W12)*('Component Volume'!$R$2)</f>
        <v>6356.5072531308442</v>
      </c>
      <c r="AG12">
        <f>('Demolition Phase'!X12)*('Component Volume'!$S$2)</f>
        <v>8790.5300094878676</v>
      </c>
      <c r="AH12">
        <f>('Demolition Phase'!Y12)*('Component Volume'!$T$2)</f>
        <v>890457.3736139792</v>
      </c>
      <c r="AI12">
        <f>('Demolition Phase'!Z12)*('Component Volume'!$U$2)</f>
        <v>375959.70841829357</v>
      </c>
    </row>
    <row r="13" spans="1:35" x14ac:dyDescent="0.25">
      <c r="A13" t="s">
        <v>18</v>
      </c>
      <c r="B13" t="s">
        <v>19</v>
      </c>
      <c r="C13" t="s">
        <v>20</v>
      </c>
      <c r="E13">
        <f>Material_Inventory!P13</f>
        <v>4.5202633178546363E-6</v>
      </c>
      <c r="F13">
        <v>2.6462049798991008E-3</v>
      </c>
      <c r="G13">
        <v>0.11569004138581247</v>
      </c>
      <c r="H13">
        <v>1.435456873101013E-5</v>
      </c>
      <c r="I13">
        <v>5.275321180685528E-5</v>
      </c>
      <c r="J13">
        <v>7.5143290124701697E-5</v>
      </c>
      <c r="K13">
        <v>3.9309938476583452E-5</v>
      </c>
      <c r="L13">
        <v>5.5781236687400602E-5</v>
      </c>
      <c r="M13">
        <v>6.5192701578255623E-5</v>
      </c>
      <c r="N13">
        <v>1.4801990500888998E-3</v>
      </c>
      <c r="O13">
        <v>7.3561186214768527E-3</v>
      </c>
      <c r="P13">
        <v>1.5995464192813794E-4</v>
      </c>
      <c r="Q13">
        <v>9.449185039068845E-5</v>
      </c>
      <c r="S13">
        <f>'Demolition Phase'!E13 * 2057.35 * 50 + 'Demolition Phase'!F13 + 'Demolition Phase'!I13 * 1654 + 'Demolition Phase'!L13 * (72 + 288) + 'Demolition Phase'!N13 * 0.15</f>
        <v>0.57519147922282698</v>
      </c>
      <c r="T13">
        <f>'Demolition Phase'!E13 * 2489.15 * 50 + 'Demolition Phase'!F13 + 'Demolition Phase'!K13 * (360 + 100 + 1193 + 703) + 'Demolition Phase'!N13 * 0.15</f>
        <v>0.65806312177013648</v>
      </c>
      <c r="U13">
        <f>'Demolition Phase'!E13 * 2489.15 * 50 + 'Demolition Phase'!F13 + 'Demolition Phase'!K13 * (360 + 100 + 1193 + 703) + 'Demolition Phase'!N13 * 0.15</f>
        <v>0.65806312177013648</v>
      </c>
      <c r="V13">
        <f>'Demolition Phase'!E13 * 2489.15 * 50 + 'Demolition Phase'!F13 + 'Demolition Phase'!K13 * (360 + 100 + 1193 + 703) + 'Demolition Phase'!N13 * 0.15</f>
        <v>0.65806312177013648</v>
      </c>
      <c r="W13">
        <f>'Demolition Phase'!E13 * 1792.65 * 50 + 'Demolition Phase'!F13 + 'Demolition Phase'!M13 * 1000 + 'Demolition Phase'!P13 * 542.5 + 'Demolition Phase'!O13 * 200 + 'Demolition Phase'!N13 * 0.15</f>
        <v>2.0312225557946593</v>
      </c>
      <c r="X13">
        <f>'Demolition Phase'!E13 * 1792.65 * 50 + 'Demolition Phase'!F13 + 'Demolition Phase'!M13 * 1000 + 'Demolition Phase'!P13 * 542.5 + 'Demolition Phase'!O13 * 200 + 'Demolition Phase'!N13 * 0.15</f>
        <v>2.0312225557946593</v>
      </c>
      <c r="Y13">
        <f>'Demolition Phase'!E13 * 2489.15 * 50 + 'Demolition Phase'!F13 + 'Demolition Phase'!K13 * (360 + 100 + 1193 + 703) + 'Demolition Phase'!N13 * 0.15</f>
        <v>0.65806312177013648</v>
      </c>
      <c r="Z13">
        <f>'Demolition Phase'!E13 * 2489.15 * 50 + 'Demolition Phase'!F13 + 'Demolition Phase'!K13 * (360 + 100 + 1193 + 703) + 'Demolition Phase'!N13 * 0.15</f>
        <v>0.65806312177013648</v>
      </c>
      <c r="AB13">
        <f>('Demolition Phase'!S13)*('Component Volume'!$N$2)</f>
        <v>1382.4638564880074</v>
      </c>
      <c r="AC13">
        <f>('Demolition Phase'!T13)*('Component Volume'!$O$2)</f>
        <v>105.68203553476023</v>
      </c>
      <c r="AD13">
        <f>('Demolition Phase'!U13)*('Component Volume'!$P$2)</f>
        <v>229.01173401119195</v>
      </c>
      <c r="AE13">
        <f>('Demolition Phase'!V13)*('Component Volume'!$Q$2)</f>
        <v>101.07849550389315</v>
      </c>
      <c r="AF13">
        <f>('Demolition Phase'!W13)*('Component Volume'!$R$2)</f>
        <v>13.972200144468262</v>
      </c>
      <c r="AG13">
        <f>('Demolition Phase'!X13)*('Component Volume'!$S$2)</f>
        <v>19.322410842530466</v>
      </c>
      <c r="AH13">
        <f>('Demolition Phase'!Y13)*('Component Volume'!$T$2)</f>
        <v>529.87675648314189</v>
      </c>
      <c r="AI13">
        <f>('Demolition Phase'!Z13)*('Component Volume'!$U$2)</f>
        <v>223.71908725570663</v>
      </c>
    </row>
    <row r="14" spans="1:35" x14ac:dyDescent="0.25">
      <c r="A14" t="s">
        <v>21</v>
      </c>
      <c r="B14" t="s">
        <v>22</v>
      </c>
      <c r="C14" t="s">
        <v>17</v>
      </c>
      <c r="E14">
        <f>Material_Inventory!P14</f>
        <v>9.2473498133378352E-4</v>
      </c>
      <c r="F14">
        <v>0.47485289080257193</v>
      </c>
      <c r="G14">
        <v>116.7323310730052</v>
      </c>
      <c r="H14">
        <v>2.5432297802444413E-2</v>
      </c>
      <c r="I14">
        <v>1.1653923383473826E-2</v>
      </c>
      <c r="J14">
        <v>2.4742990083786592E-2</v>
      </c>
      <c r="K14">
        <v>7.9896066392801147E-3</v>
      </c>
      <c r="L14">
        <v>1.21163206651535E-2</v>
      </c>
      <c r="M14">
        <v>15.823908335838306</v>
      </c>
      <c r="N14">
        <v>0.19559631395514521</v>
      </c>
      <c r="O14">
        <v>56.580251918074325</v>
      </c>
      <c r="P14">
        <v>3.2965657359973227E-2</v>
      </c>
      <c r="Q14">
        <v>1.389076928998255E-3</v>
      </c>
      <c r="S14">
        <f>'Demolition Phase'!E14 * 2057.35 * 50 + 'Demolition Phase'!F14 + 'Demolition Phase'!I14 * 1654 + 'Demolition Phase'!L14 * (72 + 288) + 'Demolition Phase'!N14 * 0.15</f>
        <v>119.26683274596978</v>
      </c>
      <c r="T14">
        <f>'Demolition Phase'!E14 * 2489.15 * 50 + 'Demolition Phase'!F14 + 'Demolition Phase'!K14 * (360 + 100 + 1193 + 703) + 'Demolition Phase'!N14 * 0.15</f>
        <v>134.41790951938916</v>
      </c>
      <c r="U14">
        <f>'Demolition Phase'!E14 * 2489.15 * 50 + 'Demolition Phase'!F14 + 'Demolition Phase'!K14 * (360 + 100 + 1193 + 703) + 'Demolition Phase'!N14 * 0.15</f>
        <v>134.41790951938916</v>
      </c>
      <c r="V14">
        <f>'Demolition Phase'!E14 * 2489.15 * 50 + 'Demolition Phase'!F14 + 'Demolition Phase'!K14 * (360 + 100 + 1193 + 703) + 'Demolition Phase'!N14 * 0.15</f>
        <v>134.41790951938916</v>
      </c>
      <c r="W14">
        <f>'Demolition Phase'!E14 * 1792.65 * 50 + 'Demolition Phase'!F14 + 'Demolition Phase'!M14 * 1000 + 'Demolition Phase'!P14 * 542.5 + 'Demolition Phase'!O14 * 200 + 'Demolition Phase'!N14 * 0.15</f>
        <v>27241.233089123256</v>
      </c>
      <c r="X14">
        <f>'Demolition Phase'!E14 * 1792.65 * 50 + 'Demolition Phase'!F14 + 'Demolition Phase'!M14 * 1000 + 'Demolition Phase'!P14 * 542.5 + 'Demolition Phase'!O14 * 200 + 'Demolition Phase'!N14 * 0.15</f>
        <v>27241.233089123256</v>
      </c>
      <c r="Y14">
        <f>'Demolition Phase'!E14 * 2489.15 * 50 + 'Demolition Phase'!F14 + 'Demolition Phase'!K14 * (360 + 100 + 1193 + 703) + 'Demolition Phase'!N14 * 0.15</f>
        <v>134.41790951938916</v>
      </c>
      <c r="Z14">
        <f>'Demolition Phase'!E14 * 2489.15 * 50 + 'Demolition Phase'!F14 + 'Demolition Phase'!K14 * (360 + 100 + 1193 + 703) + 'Demolition Phase'!N14 * 0.15</f>
        <v>134.41790951938916</v>
      </c>
      <c r="AB14">
        <f>('Demolition Phase'!S14)*('Component Volume'!$N$2)</f>
        <v>286655.99457746634</v>
      </c>
      <c r="AC14">
        <f>('Demolition Phase'!T14)*('Component Volume'!$O$2)</f>
        <v>21586.92353421123</v>
      </c>
      <c r="AD14">
        <f>('Demolition Phase'!U14)*('Component Volume'!$P$2)</f>
        <v>46778.610626880734</v>
      </c>
      <c r="AE14">
        <f>('Demolition Phase'!V14)*('Component Volume'!$Q$2)</f>
        <v>20646.59090217821</v>
      </c>
      <c r="AF14">
        <f>('Demolition Phase'!W14)*('Component Volume'!$R$2)</f>
        <v>187384.6663515582</v>
      </c>
      <c r="AG14">
        <f>('Demolition Phase'!X14)*('Component Volume'!$S$2)</f>
        <v>259137.67849001102</v>
      </c>
      <c r="AH14">
        <f>('Demolition Phase'!Y14)*('Component Volume'!$T$2)</f>
        <v>108234.18537387278</v>
      </c>
      <c r="AI14">
        <f>('Demolition Phase'!Z14)*('Component Volume'!$U$2)</f>
        <v>45697.519027668735</v>
      </c>
    </row>
    <row r="15" spans="1:35" x14ac:dyDescent="0.25">
      <c r="A15" t="s">
        <v>49</v>
      </c>
      <c r="B15" t="s">
        <v>50</v>
      </c>
      <c r="C15" t="s">
        <v>51</v>
      </c>
      <c r="E15">
        <f>Material_Inventory!P15</f>
        <v>4.1466865597949666E-9</v>
      </c>
      <c r="F15">
        <v>-1.1771859033668173E-6</v>
      </c>
      <c r="G15">
        <v>4.369902068457796E-3</v>
      </c>
      <c r="H15">
        <v>4.922907758884676E-7</v>
      </c>
      <c r="I15">
        <v>5.4329403777466509E-9</v>
      </c>
      <c r="J15">
        <v>1.5722145505178182E-8</v>
      </c>
      <c r="K15">
        <v>6.2434400585270961E-9</v>
      </c>
      <c r="L15" s="15">
        <v>3.8355165711473101E-9</v>
      </c>
      <c r="M15">
        <v>-2.8896116672640035E-9</v>
      </c>
      <c r="N15">
        <v>8.959066638189402E-8</v>
      </c>
      <c r="O15">
        <v>1.9861711181593706E-8</v>
      </c>
      <c r="P15">
        <v>6.3475208637094353E-8</v>
      </c>
      <c r="Q15">
        <v>-2.8512439646706096E-9</v>
      </c>
      <c r="S15">
        <f>'Demolition Phase'!E15 * 2057.35 * 50 + 'Demolition Phase'!F15 + 'Demolition Phase'!I15 * 1654 + 'Demolition Phase'!L15 * (72 + 288) + 'Demolition Phase'!N15 * 0.15</f>
        <v>4.3576240173670512E-4</v>
      </c>
      <c r="T15">
        <f>'Demolition Phase'!E15 * 2489.15 * 50 + 'Demolition Phase'!F15 + 'Demolition Phase'!K15 * (360 + 100 + 1193 + 703) + 'Demolition Phase'!N15 * 0.15</f>
        <v>5.2963203999016237E-4</v>
      </c>
      <c r="U15">
        <f>'Demolition Phase'!E15 * 2489.15 * 50 + 'Demolition Phase'!F15 + 'Demolition Phase'!K15 * (360 + 100 + 1193 + 703) + 'Demolition Phase'!N15 * 0.15</f>
        <v>5.2963203999016237E-4</v>
      </c>
      <c r="V15">
        <f>'Demolition Phase'!E15 * 2489.15 * 50 + 'Demolition Phase'!F15 + 'Demolition Phase'!K15 * (360 + 100 + 1193 + 703) + 'Demolition Phase'!N15 * 0.15</f>
        <v>5.2963203999016237E-4</v>
      </c>
      <c r="W15">
        <f>'Demolition Phase'!E15 * 1792.65 * 50 + 'Demolition Phase'!F15 + 'Demolition Phase'!M15 * 1000 + 'Demolition Phase'!P15 * 542.5 + 'Demolition Phase'!O15 * 200 + 'Demolition Phase'!N15 * 0.15</f>
        <v>4.0603216702209127E-4</v>
      </c>
      <c r="X15">
        <f>'Demolition Phase'!E15 * 1792.65 * 50 + 'Demolition Phase'!F15 + 'Demolition Phase'!M15 * 1000 + 'Demolition Phase'!P15 * 542.5 + 'Demolition Phase'!O15 * 200 + 'Demolition Phase'!N15 * 0.15</f>
        <v>4.0603216702209127E-4</v>
      </c>
      <c r="Y15">
        <f>'Demolition Phase'!E15 * 2489.15 * 50 + 'Demolition Phase'!F15 + 'Demolition Phase'!K15 * (360 + 100 + 1193 + 703) + 'Demolition Phase'!N15 * 0.15</f>
        <v>5.2963203999016237E-4</v>
      </c>
      <c r="Z15">
        <f>'Demolition Phase'!E15 * 2489.15 * 50 + 'Demolition Phase'!F15 + 'Demolition Phase'!K15 * (360 + 100 + 1193 + 703) + 'Demolition Phase'!N15 * 0.15</f>
        <v>5.2963203999016237E-4</v>
      </c>
      <c r="AB15">
        <f>('Demolition Phase'!S15)*('Component Volume'!$N$2)</f>
        <v>1.0473482173821012</v>
      </c>
      <c r="AC15">
        <f>('Demolition Phase'!T15)*('Component Volume'!$O$2)</f>
        <v>8.5056570135743442E-2</v>
      </c>
      <c r="AD15">
        <f>('Demolition Phase'!U15)*('Component Volume'!$P$2)</f>
        <v>0.18431659190955196</v>
      </c>
      <c r="AE15">
        <f>('Demolition Phase'!V15)*('Component Volume'!$Q$2)</f>
        <v>8.1351481342489082E-2</v>
      </c>
      <c r="AF15">
        <f>('Demolition Phase'!W15)*('Component Volume'!$R$2)</f>
        <v>2.7929793741904162E-3</v>
      </c>
      <c r="AG15">
        <f>('Demolition Phase'!X15)*('Component Volume'!$S$2)</f>
        <v>3.8624622024318036E-3</v>
      </c>
      <c r="AH15">
        <f>('Demolition Phase'!Y15)*('Component Volume'!$T$2)</f>
        <v>0.42646320420545503</v>
      </c>
      <c r="AI15">
        <f>('Demolition Phase'!Z15)*('Component Volume'!$U$2)</f>
        <v>0.18005688610729587</v>
      </c>
    </row>
    <row r="16" spans="1:35" x14ac:dyDescent="0.25">
      <c r="A16" t="s">
        <v>23</v>
      </c>
      <c r="B16" t="s">
        <v>24</v>
      </c>
      <c r="C16" t="s">
        <v>25</v>
      </c>
      <c r="E16">
        <f>Material_Inventory!P16</f>
        <v>6.7960633644738601E-12</v>
      </c>
      <c r="F16">
        <v>7.7069434173024455E-9</v>
      </c>
      <c r="G16">
        <v>2.9914134365191448E-8</v>
      </c>
      <c r="H16">
        <v>8.4360215630721735E-10</v>
      </c>
      <c r="I16">
        <v>2.0704789561100221E-10</v>
      </c>
      <c r="J16">
        <v>2.9420554102623568E-10</v>
      </c>
      <c r="K16">
        <v>2.1274344651077107E-10</v>
      </c>
      <c r="L16" s="15">
        <v>2.17440340555382E-10</v>
      </c>
      <c r="M16">
        <v>1.6416272083951268E-10</v>
      </c>
      <c r="N16">
        <v>1.9514544448002166E-9</v>
      </c>
      <c r="O16">
        <v>1.8706852458207912E-10</v>
      </c>
      <c r="P16">
        <v>5.205920953789093E-10</v>
      </c>
      <c r="Q16">
        <v>2.1334319966761099E-11</v>
      </c>
      <c r="S16">
        <f>'Demolition Phase'!E16 * 2057.35 * 50 + 'Demolition Phase'!F16 + 'Demolition Phase'!I16 * 1654 + 'Demolition Phase'!L16 * (72 + 288) + 'Demolition Phase'!N16 * 0.15</f>
        <v>1.1278294516695726E-6</v>
      </c>
      <c r="T16">
        <f>'Demolition Phase'!E16 * 2489.15 * 50 + 'Demolition Phase'!F16 + 'Demolition Phase'!K16 * (360 + 100 + 1193 + 703) + 'Demolition Phase'!N16 * 0.15</f>
        <v>1.3550442777474047E-6</v>
      </c>
      <c r="U16">
        <f>'Demolition Phase'!E16 * 2489.15 * 50 + 'Demolition Phase'!F16 + 'Demolition Phase'!K16 * (360 + 100 + 1193 + 703) + 'Demolition Phase'!N16 * 0.15</f>
        <v>1.3550442777474047E-6</v>
      </c>
      <c r="V16">
        <f>'Demolition Phase'!E16 * 2489.15 * 50 + 'Demolition Phase'!F16 + 'Demolition Phase'!K16 * (360 + 100 + 1193 + 703) + 'Demolition Phase'!N16 * 0.15</f>
        <v>1.3550442777474047E-6</v>
      </c>
      <c r="W16">
        <f>'Demolition Phase'!E16 * 1792.65 * 50 + 'Demolition Phase'!F16 + 'Demolition Phase'!M16 * 1000 + 'Demolition Phase'!P16 * 542.5 + 'Demolition Phase'!O16 * 200 + 'Demolition Phase'!N16 * 0.15</f>
        <v>1.1011454485992125E-6</v>
      </c>
      <c r="X16">
        <f>'Demolition Phase'!E16 * 1792.65 * 50 + 'Demolition Phase'!F16 + 'Demolition Phase'!M16 * 1000 + 'Demolition Phase'!P16 * 542.5 + 'Demolition Phase'!O16 * 200 + 'Demolition Phase'!N16 * 0.15</f>
        <v>1.1011454485992125E-6</v>
      </c>
      <c r="Y16">
        <f>'Demolition Phase'!E16 * 2489.15 * 50 + 'Demolition Phase'!F16 + 'Demolition Phase'!K16 * (360 + 100 + 1193 + 703) + 'Demolition Phase'!N16 * 0.15</f>
        <v>1.3550442777474047E-6</v>
      </c>
      <c r="Z16">
        <f>'Demolition Phase'!E16 * 2489.15 * 50 + 'Demolition Phase'!F16 + 'Demolition Phase'!K16 * (360 + 100 + 1193 + 703) + 'Demolition Phase'!N16 * 0.15</f>
        <v>1.3550442777474047E-6</v>
      </c>
      <c r="AB16">
        <f>('Demolition Phase'!S16)*('Component Volume'!$N$2)</f>
        <v>2.7107207069940798E-3</v>
      </c>
      <c r="AC16">
        <f>('Demolition Phase'!T16)*('Component Volume'!$O$2)</f>
        <v>2.1761413574866194E-4</v>
      </c>
      <c r="AD16">
        <f>('Demolition Phase'!U16)*('Component Volume'!$P$2)</f>
        <v>4.7156728502599856E-4</v>
      </c>
      <c r="AE16">
        <f>('Demolition Phase'!V16)*('Component Volume'!$Q$2)</f>
        <v>2.0813480106200174E-4</v>
      </c>
      <c r="AF16">
        <f>('Demolition Phase'!W16)*('Component Volume'!$R$2)</f>
        <v>7.5744652165795629E-6</v>
      </c>
      <c r="AG16">
        <f>('Demolition Phase'!X16)*('Component Volume'!$S$2)</f>
        <v>1.0474866328417935E-5</v>
      </c>
      <c r="AH16">
        <f>('Demolition Phase'!Y16)*('Component Volume'!$T$2)</f>
        <v>1.0910905702365711E-3</v>
      </c>
      <c r="AI16">
        <f>('Demolition Phase'!Z16)*('Component Volume'!$U$2)</f>
        <v>4.6066898292867505E-4</v>
      </c>
    </row>
    <row r="17" spans="1:35" x14ac:dyDescent="0.25">
      <c r="A17" t="s">
        <v>52</v>
      </c>
      <c r="B17" t="s">
        <v>53</v>
      </c>
      <c r="C17" t="s">
        <v>54</v>
      </c>
      <c r="E17">
        <f>Material_Inventory!P17</f>
        <v>1.8402446061655736E-7</v>
      </c>
      <c r="F17">
        <v>2.7136873859012463E-4</v>
      </c>
      <c r="G17">
        <v>5.0196559615498602E-3</v>
      </c>
      <c r="H17">
        <v>2.9649626824096568E-5</v>
      </c>
      <c r="I17">
        <v>4.7321487695050935E-6</v>
      </c>
      <c r="J17">
        <v>6.5756556757245577E-6</v>
      </c>
      <c r="K17">
        <v>3.8134386768008526E-6</v>
      </c>
      <c r="L17" s="15">
        <v>5.0872879070839501E-6</v>
      </c>
      <c r="M17">
        <v>1.9189419722127733E-4</v>
      </c>
      <c r="N17">
        <v>-3.4063333537896164E-5</v>
      </c>
      <c r="O17">
        <v>7.0273692637375118E-4</v>
      </c>
      <c r="P17">
        <v>1.2909937996383724E-5</v>
      </c>
      <c r="Q17">
        <v>3.7661156600309649E-7</v>
      </c>
      <c r="S17">
        <f>'Demolition Phase'!E17 * 2057.35 * 50 + 'Demolition Phase'!F17 + 'Demolition Phase'!I17 * 1654 + 'Demolition Phase'!L17 * (72 + 288) + 'Demolition Phase'!N17 * 0.15</f>
        <v>2.8854793152344797E-2</v>
      </c>
      <c r="T17">
        <f>'Demolition Phase'!E17 * 2489.15 * 50 + 'Demolition Phase'!F17 + 'Demolition Phase'!K17 * (360 + 100 + 1193 + 703) + 'Demolition Phase'!N17 * 0.15</f>
        <v>3.2153945068287434E-2</v>
      </c>
      <c r="U17">
        <f>'Demolition Phase'!E17 * 2489.15 * 50 + 'Demolition Phase'!F17 + 'Demolition Phase'!K17 * (360 + 100 + 1193 + 703) + 'Demolition Phase'!N17 * 0.15</f>
        <v>3.2153945068287434E-2</v>
      </c>
      <c r="V17">
        <f>'Demolition Phase'!E17 * 2489.15 * 50 + 'Demolition Phase'!F17 + 'Demolition Phase'!K17 * (360 + 100 + 1193 + 703) + 'Demolition Phase'!N17 * 0.15</f>
        <v>3.2153945068287434E-2</v>
      </c>
      <c r="W17">
        <f>'Demolition Phase'!E17 * 1792.65 * 50 + 'Demolition Phase'!F17 + 'Demolition Phase'!M17 * 1000 + 'Demolition Phase'!P17 * 542.5 + 'Demolition Phase'!O17 * 200 + 'Demolition Phase'!N17 * 0.15</f>
        <v>0.35620605556383872</v>
      </c>
      <c r="X17">
        <f>'Demolition Phase'!E17 * 1792.65 * 50 + 'Demolition Phase'!F17 + 'Demolition Phase'!M17 * 1000 + 'Demolition Phase'!P17 * 542.5 + 'Demolition Phase'!O17 * 200 + 'Demolition Phase'!N17 * 0.15</f>
        <v>0.35620605556383872</v>
      </c>
      <c r="Y17">
        <f>'Demolition Phase'!E17 * 2489.15 * 50 + 'Demolition Phase'!F17 + 'Demolition Phase'!K17 * (360 + 100 + 1193 + 703) + 'Demolition Phase'!N17 * 0.15</f>
        <v>3.2153945068287434E-2</v>
      </c>
      <c r="Z17">
        <f>'Demolition Phase'!E17 * 2489.15 * 50 + 'Demolition Phase'!F17 + 'Demolition Phase'!K17 * (360 + 100 + 1193 + 703) + 'Demolition Phase'!N17 * 0.15</f>
        <v>3.2153945068287434E-2</v>
      </c>
      <c r="AB17">
        <f>('Demolition Phase'!S17)*('Component Volume'!$N$2)</f>
        <v>69.352050683109695</v>
      </c>
      <c r="AC17">
        <f>('Demolition Phase'!T17)*('Component Volume'!$O$2)</f>
        <v>5.1637817906417283</v>
      </c>
      <c r="AD17">
        <f>('Demolition Phase'!U17)*('Component Volume'!$P$2)</f>
        <v>11.189854699016637</v>
      </c>
      <c r="AE17">
        <f>('Demolition Phase'!V17)*('Component Volume'!$Q$2)</f>
        <v>4.9388459624889585</v>
      </c>
      <c r="AF17">
        <f>('Demolition Phase'!W17)*('Component Volume'!$R$2)</f>
        <v>2.4502397764396782</v>
      </c>
      <c r="AG17">
        <f>('Demolition Phase'!X17)*('Component Volume'!$S$2)</f>
        <v>3.3884813510792462</v>
      </c>
      <c r="AH17">
        <f>('Demolition Phase'!Y17)*('Component Volume'!$T$2)</f>
        <v>25.890568179981614</v>
      </c>
      <c r="AI17">
        <f>('Demolition Phase'!Z17)*('Component Volume'!$U$2)</f>
        <v>10.931248089085427</v>
      </c>
    </row>
    <row r="18" spans="1:35" x14ac:dyDescent="0.25">
      <c r="A18" t="s">
        <v>27</v>
      </c>
      <c r="B18" t="s">
        <v>28</v>
      </c>
      <c r="C18" t="s">
        <v>26</v>
      </c>
      <c r="E18">
        <f>Material_Inventory!P18</f>
        <v>5.9360296425751734E-3</v>
      </c>
      <c r="F18">
        <v>7.925687464266205</v>
      </c>
      <c r="G18">
        <v>30.393655238718413</v>
      </c>
      <c r="H18">
        <v>1.036534759651768</v>
      </c>
      <c r="I18">
        <v>0.21191106845223759</v>
      </c>
      <c r="J18">
        <v>0.30583274542395389</v>
      </c>
      <c r="K18">
        <v>0.21737300232303999</v>
      </c>
      <c r="L18">
        <v>0.22200843475752399</v>
      </c>
      <c r="M18">
        <v>0.15452328969741452</v>
      </c>
      <c r="N18">
        <v>-0.9022115628327092</v>
      </c>
      <c r="O18">
        <v>0.19907884322537728</v>
      </c>
      <c r="P18">
        <v>0.68062928259648248</v>
      </c>
      <c r="Q18">
        <v>1.8655816253120516E-2</v>
      </c>
      <c r="S18">
        <f>'Demolition Phase'!E18 * 2057.35 * 50 + 'Demolition Phase'!F18 + 'Demolition Phase'!I18 * 1654 + 'Demolition Phase'!L18 * (72 + 288) + 'Demolition Phase'!N18 * 0.15</f>
        <v>1048.8388287201524</v>
      </c>
      <c r="T18">
        <f>'Demolition Phase'!E18 * 2489.15 * 50 + 'Demolition Phase'!F18 + 'Demolition Phase'!K18 * (360 + 100 + 1193 + 703) + 'Demolition Phase'!N18 * 0.15</f>
        <v>1258.704558443723</v>
      </c>
      <c r="U18">
        <f>'Demolition Phase'!E18 * 2489.15 * 50 + 'Demolition Phase'!F18 + 'Demolition Phase'!K18 * (360 + 100 + 1193 + 703) + 'Demolition Phase'!N18 * 0.15</f>
        <v>1258.704558443723</v>
      </c>
      <c r="V18">
        <f>'Demolition Phase'!E18 * 2489.15 * 50 + 'Demolition Phase'!F18 + 'Demolition Phase'!K18 * (360 + 100 + 1193 + 703) + 'Demolition Phase'!N18 * 0.15</f>
        <v>1258.704558443723</v>
      </c>
      <c r="W18">
        <f>'Demolition Phase'!E18 * 1792.65 * 50 + 'Demolition Phase'!F18 + 'Demolition Phase'!M18 * 1000 + 'Demolition Phase'!P18 * 542.5 + 'Demolition Phase'!O18 * 200 + 'Demolition Phase'!N18 * 0.15</f>
        <v>1103.4319768190423</v>
      </c>
      <c r="X18">
        <f>'Demolition Phase'!E18 * 1792.65 * 50 + 'Demolition Phase'!F18 + 'Demolition Phase'!M18 * 1000 + 'Demolition Phase'!P18 * 542.5 + 'Demolition Phase'!O18 * 200 + 'Demolition Phase'!N18 * 0.15</f>
        <v>1103.4319768190423</v>
      </c>
      <c r="Y18">
        <f>'Demolition Phase'!E18 * 2489.15 * 50 + 'Demolition Phase'!F18 + 'Demolition Phase'!K18 * (360 + 100 + 1193 + 703) + 'Demolition Phase'!N18 * 0.15</f>
        <v>1258.704558443723</v>
      </c>
      <c r="Z18">
        <f>'Demolition Phase'!E18 * 2489.15 * 50 + 'Demolition Phase'!F18 + 'Demolition Phase'!K18 * (360 + 100 + 1193 + 703) + 'Demolition Phase'!N18 * 0.15</f>
        <v>1258.704558443723</v>
      </c>
      <c r="AB18">
        <f>('Demolition Phase'!S18)*('Component Volume'!$N$2)</f>
        <v>2520867.9619975891</v>
      </c>
      <c r="AC18">
        <f>('Demolition Phase'!T18)*('Component Volume'!$O$2)</f>
        <v>202142.40165197919</v>
      </c>
      <c r="AD18">
        <f>('Demolition Phase'!U18)*('Component Volume'!$P$2)</f>
        <v>438040.21833285195</v>
      </c>
      <c r="AE18">
        <f>('Demolition Phase'!V18)*('Component Volume'!$Q$2)</f>
        <v>193337.0201769562</v>
      </c>
      <c r="AF18">
        <f>('Demolition Phase'!W18)*('Component Volume'!$R$2)</f>
        <v>7590.1935915093791</v>
      </c>
      <c r="AG18">
        <f>('Demolition Phase'!X18)*('Component Volume'!$S$2)</f>
        <v>10496.61738545526</v>
      </c>
      <c r="AH18">
        <f>('Demolition Phase'!Y18)*('Component Volume'!$T$2)</f>
        <v>1013517.1942239242</v>
      </c>
      <c r="AI18">
        <f>('Demolition Phase'!Z18)*('Component Volume'!$U$2)</f>
        <v>427916.75391587953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F176-3C6E-4DE5-9BDE-0E0A05CA39BE}">
  <sheetPr codeName="Sheet7"/>
  <dimension ref="A1:N16"/>
  <sheetViews>
    <sheetView workbookViewId="0">
      <selection activeCell="F6" sqref="F6"/>
    </sheetView>
  </sheetViews>
  <sheetFormatPr defaultRowHeight="15" x14ac:dyDescent="0.25"/>
  <cols>
    <col min="6" max="6" width="23.42578125" bestFit="1" customWidth="1"/>
    <col min="7" max="7" width="17.28515625" bestFit="1" customWidth="1"/>
    <col min="8" max="8" width="9.42578125" bestFit="1" customWidth="1"/>
    <col min="9" max="9" width="15.140625" bestFit="1" customWidth="1"/>
  </cols>
  <sheetData>
    <row r="1" spans="1:14" ht="24" x14ac:dyDescent="0.4">
      <c r="A1" s="12"/>
    </row>
    <row r="2" spans="1:14" ht="24" x14ac:dyDescent="0.4">
      <c r="G2" s="14" t="s">
        <v>107</v>
      </c>
      <c r="J2" s="12"/>
    </row>
    <row r="4" spans="1:14" x14ac:dyDescent="0.25">
      <c r="A4" s="13" t="s">
        <v>8</v>
      </c>
      <c r="B4" s="5" t="s">
        <v>9</v>
      </c>
      <c r="C4" s="5" t="s">
        <v>10</v>
      </c>
      <c r="F4" s="13" t="s">
        <v>109</v>
      </c>
      <c r="G4" s="13" t="s">
        <v>76</v>
      </c>
      <c r="H4" s="13" t="s">
        <v>79</v>
      </c>
      <c r="I4" s="13" t="s">
        <v>108</v>
      </c>
    </row>
    <row r="5" spans="1:14" x14ac:dyDescent="0.25">
      <c r="A5" s="4" t="s">
        <v>11</v>
      </c>
      <c r="B5" s="4" t="s">
        <v>12</v>
      </c>
      <c r="C5" s="4" t="s">
        <v>13</v>
      </c>
      <c r="F5">
        <f>SUM('Material Production'!N4:U4)</f>
        <v>7257.0555872044124</v>
      </c>
      <c r="G5">
        <f>SUM('Construction Phase'!F6:N6)</f>
        <v>1378.9074536437936</v>
      </c>
      <c r="H5">
        <f>SUM('Operational Phase'!K6:M6)</f>
        <v>108149.14940132396</v>
      </c>
      <c r="I5">
        <f>SUM('Demolition Phase'!AB7:AI7)</f>
        <v>1506.4771066167534</v>
      </c>
      <c r="K5">
        <f>(F5/($F5+$G5+$H5+$I5))*100</f>
        <v>6.1348872010983229</v>
      </c>
      <c r="L5">
        <f t="shared" ref="L5:N16" si="0">(G5/($F5+$G5+$H5+$I5))*100</f>
        <v>1.1656851166710109</v>
      </c>
      <c r="M5">
        <f t="shared" si="0"/>
        <v>91.425899181715067</v>
      </c>
      <c r="N5">
        <f t="shared" si="0"/>
        <v>1.2735285005155945</v>
      </c>
    </row>
    <row r="6" spans="1:14" x14ac:dyDescent="0.25">
      <c r="A6" s="4" t="s">
        <v>14</v>
      </c>
      <c r="B6" s="4" t="s">
        <v>15</v>
      </c>
      <c r="C6" s="4" t="s">
        <v>16</v>
      </c>
      <c r="F6">
        <f>SUM('Material Production'!N5:U5)</f>
        <v>1798495.6403930995</v>
      </c>
      <c r="G6">
        <f>SUM('Construction Phase'!F7:N7)</f>
        <v>308651.80157938291</v>
      </c>
      <c r="H6">
        <f>SUM('Operational Phase'!K7:M7)</f>
        <v>28819136.05622774</v>
      </c>
      <c r="I6">
        <f>SUM('Demolition Phase'!AB8:AI8)</f>
        <v>300504.43245110312</v>
      </c>
      <c r="K6">
        <f t="shared" ref="K6:K16" si="1">(F6/($F6+$G6+$H6+$I6))*100</f>
        <v>5.7594640998209981</v>
      </c>
      <c r="L6">
        <f t="shared" si="0"/>
        <v>0.98841994977145609</v>
      </c>
      <c r="M6">
        <f t="shared" si="0"/>
        <v>92.289786961853011</v>
      </c>
      <c r="N6">
        <f t="shared" si="0"/>
        <v>0.96232898855452409</v>
      </c>
    </row>
    <row r="7" spans="1:14" x14ac:dyDescent="0.25">
      <c r="A7" s="4" t="s">
        <v>40</v>
      </c>
      <c r="B7" s="4" t="s">
        <v>41</v>
      </c>
      <c r="C7" s="4" t="s">
        <v>17</v>
      </c>
      <c r="F7">
        <f>SUM('Material Production'!N6:U6)</f>
        <v>2362408.660414394</v>
      </c>
      <c r="G7">
        <f>SUM('Construction Phase'!F8:N8)</f>
        <v>203539.94532260031</v>
      </c>
      <c r="H7">
        <f>SUM('Operational Phase'!K8:M8)</f>
        <v>16000236.340737063</v>
      </c>
      <c r="I7">
        <f>SUM('Demolition Phase'!AB9:AI9)</f>
        <v>203051.57086984714</v>
      </c>
      <c r="K7">
        <f t="shared" si="1"/>
        <v>12.586599663930848</v>
      </c>
      <c r="L7">
        <f t="shared" si="0"/>
        <v>1.0844338028055491</v>
      </c>
      <c r="M7">
        <f t="shared" si="0"/>
        <v>85.247134724696352</v>
      </c>
      <c r="N7">
        <f t="shared" si="0"/>
        <v>1.0818318085672547</v>
      </c>
    </row>
    <row r="8" spans="1:14" x14ac:dyDescent="0.25">
      <c r="A8" s="4" t="s">
        <v>42</v>
      </c>
      <c r="B8" s="4" t="s">
        <v>43</v>
      </c>
      <c r="C8" s="4" t="s">
        <v>17</v>
      </c>
      <c r="F8">
        <f>SUM('Material Production'!N7:U7)</f>
        <v>5152672758.0815649</v>
      </c>
      <c r="G8">
        <f>SUM('Construction Phase'!F9:N9)</f>
        <v>514088263.49973208</v>
      </c>
      <c r="H8">
        <f>SUM('Operational Phase'!K9:M9)</f>
        <v>55106910538.215637</v>
      </c>
      <c r="I8">
        <f>SUM('Demolition Phase'!AB10:AI10)</f>
        <v>370757785.04355186</v>
      </c>
      <c r="K8">
        <f t="shared" si="1"/>
        <v>8.427051839868648</v>
      </c>
      <c r="L8">
        <f t="shared" si="0"/>
        <v>0.84077694241022805</v>
      </c>
      <c r="M8">
        <f t="shared" si="0"/>
        <v>90.125807254533967</v>
      </c>
      <c r="N8">
        <f t="shared" si="0"/>
        <v>0.60636396318716701</v>
      </c>
    </row>
    <row r="9" spans="1:14" x14ac:dyDescent="0.25">
      <c r="A9" s="4" t="s">
        <v>44</v>
      </c>
      <c r="B9" s="4" t="s">
        <v>45</v>
      </c>
      <c r="C9" s="4" t="s">
        <v>17</v>
      </c>
      <c r="F9">
        <f>SUM('Material Production'!N8:U8)</f>
        <v>5728.1588668386948</v>
      </c>
      <c r="G9">
        <f>SUM('Construction Phase'!F10:N10)</f>
        <v>1903.6140924868071</v>
      </c>
      <c r="H9">
        <f>SUM('Operational Phase'!K10:M10)</f>
        <v>59323.168987795965</v>
      </c>
      <c r="I9">
        <f>SUM('Demolition Phase'!AB11:AI11)</f>
        <v>4865.9332441437928</v>
      </c>
      <c r="K9">
        <f t="shared" si="1"/>
        <v>7.975618302595322</v>
      </c>
      <c r="L9">
        <f t="shared" si="0"/>
        <v>2.6505025000284621</v>
      </c>
      <c r="M9">
        <f t="shared" si="0"/>
        <v>82.59878319473718</v>
      </c>
      <c r="N9">
        <f t="shared" si="0"/>
        <v>6.7750960026390503</v>
      </c>
    </row>
    <row r="10" spans="1:14" x14ac:dyDescent="0.25">
      <c r="A10" s="4" t="s">
        <v>46</v>
      </c>
      <c r="B10" s="4" t="s">
        <v>47</v>
      </c>
      <c r="C10" s="4" t="s">
        <v>48</v>
      </c>
      <c r="F10">
        <f>SUM('Material Production'!N9:U9)</f>
        <v>23345298.005541883</v>
      </c>
      <c r="G10">
        <f>SUM('Construction Phase'!F11:N11)</f>
        <v>4264383.71129994</v>
      </c>
      <c r="H10">
        <f>SUM('Operational Phase'!K11:M11)</f>
        <v>336577026.53168589</v>
      </c>
      <c r="I10">
        <f>SUM('Demolition Phase'!AB12:AI12)</f>
        <v>4225729.4785987763</v>
      </c>
      <c r="K10">
        <f t="shared" si="1"/>
        <v>6.3367290609317424</v>
      </c>
      <c r="L10">
        <f t="shared" si="0"/>
        <v>1.1575026450270003</v>
      </c>
      <c r="M10">
        <f t="shared" si="0"/>
        <v>91.358757757516258</v>
      </c>
      <c r="N10">
        <f t="shared" si="0"/>
        <v>1.1470105365250085</v>
      </c>
    </row>
    <row r="11" spans="1:14" x14ac:dyDescent="0.25">
      <c r="A11" s="4" t="s">
        <v>18</v>
      </c>
      <c r="B11" s="4" t="s">
        <v>19</v>
      </c>
      <c r="C11" s="4" t="s">
        <v>20</v>
      </c>
      <c r="F11">
        <f>SUM('Material Production'!N10:U10)</f>
        <v>35774.727570587529</v>
      </c>
      <c r="G11">
        <f>SUM('Construction Phase'!F12:N12)</f>
        <v>2210.523542310937</v>
      </c>
      <c r="H11">
        <f>SUM('Operational Phase'!K12:M12)</f>
        <v>122835.87990878148</v>
      </c>
      <c r="I11">
        <f>SUM('Demolition Phase'!AB13:AI13)</f>
        <v>2605.1265762636999</v>
      </c>
      <c r="K11">
        <f t="shared" si="1"/>
        <v>21.890440432527942</v>
      </c>
      <c r="L11">
        <f t="shared" si="0"/>
        <v>1.3526122269465415</v>
      </c>
      <c r="M11">
        <f t="shared" si="0"/>
        <v>75.162878789636494</v>
      </c>
      <c r="N11">
        <f t="shared" si="0"/>
        <v>1.5940685508890213</v>
      </c>
    </row>
    <row r="12" spans="1:14" x14ac:dyDescent="0.25">
      <c r="A12" s="4" t="s">
        <v>21</v>
      </c>
      <c r="B12" s="4" t="s">
        <v>22</v>
      </c>
      <c r="C12" s="4" t="s">
        <v>17</v>
      </c>
      <c r="F12">
        <f>SUM('Material Production'!N11:U11)</f>
        <v>3284966.3103201217</v>
      </c>
      <c r="G12">
        <f>SUM('Construction Phase'!F13:N13)</f>
        <v>438451.24746241438</v>
      </c>
      <c r="H12">
        <f>SUM('Operational Phase'!K13:M13)</f>
        <v>16605438.716330828</v>
      </c>
      <c r="I12">
        <f>SUM('Demolition Phase'!AB14:AI14)</f>
        <v>976122.16888384719</v>
      </c>
      <c r="K12">
        <f t="shared" si="1"/>
        <v>15.418773218237474</v>
      </c>
      <c r="L12">
        <f t="shared" si="0"/>
        <v>2.0579755508108954</v>
      </c>
      <c r="M12">
        <f t="shared" si="0"/>
        <v>77.941588914345559</v>
      </c>
      <c r="N12">
        <f t="shared" si="0"/>
        <v>4.5816623166060566</v>
      </c>
    </row>
    <row r="13" spans="1:14" x14ac:dyDescent="0.25">
      <c r="A13" s="4" t="s">
        <v>49</v>
      </c>
      <c r="B13" s="4" t="s">
        <v>50</v>
      </c>
      <c r="C13" s="4" t="s">
        <v>51</v>
      </c>
      <c r="F13">
        <f>SUM('Material Production'!N12:U12)</f>
        <v>-8.2232744975226115</v>
      </c>
      <c r="G13">
        <f>SUM('Construction Phase'!F14:N14)</f>
        <v>1.6915845983374993</v>
      </c>
      <c r="H13">
        <f>SUM('Operational Phase'!K14:M14)</f>
        <v>34.796518295495915</v>
      </c>
      <c r="I13">
        <f>SUM('Demolition Phase'!AB15:AI15)</f>
        <v>2.0112483926592586</v>
      </c>
      <c r="K13">
        <f t="shared" si="1"/>
        <v>-27.160964595381294</v>
      </c>
      <c r="L13">
        <f t="shared" si="0"/>
        <v>5.5871987976783171</v>
      </c>
      <c r="M13">
        <f t="shared" si="0"/>
        <v>114.93073735422914</v>
      </c>
      <c r="N13">
        <f t="shared" si="0"/>
        <v>6.6430284434738267</v>
      </c>
    </row>
    <row r="14" spans="1:14" x14ac:dyDescent="0.25">
      <c r="A14" s="4" t="s">
        <v>23</v>
      </c>
      <c r="B14" s="4" t="s">
        <v>24</v>
      </c>
      <c r="C14" s="4" t="s">
        <v>25</v>
      </c>
      <c r="F14">
        <f>SUM('Material Production'!N13:U13)</f>
        <v>4.0699406928014319E-2</v>
      </c>
      <c r="G14">
        <f>SUM('Construction Phase'!F15:N15)</f>
        <v>3.8167880639019308E-3</v>
      </c>
      <c r="H14">
        <f>SUM('Operational Phase'!K15:M15)</f>
        <v>0.12860447116013668</v>
      </c>
      <c r="I14">
        <f>SUM('Demolition Phase'!AB16:AI16)</f>
        <v>5.1778458135409858E-3</v>
      </c>
      <c r="K14">
        <f t="shared" si="1"/>
        <v>22.82655445597215</v>
      </c>
      <c r="L14">
        <f t="shared" si="0"/>
        <v>2.1406729769222372</v>
      </c>
      <c r="M14">
        <f t="shared" si="0"/>
        <v>72.128740583630531</v>
      </c>
      <c r="N14">
        <f t="shared" si="0"/>
        <v>2.9040319834750772</v>
      </c>
    </row>
    <row r="15" spans="1:14" x14ac:dyDescent="0.25">
      <c r="A15" s="4" t="s">
        <v>52</v>
      </c>
      <c r="B15" s="4" t="s">
        <v>53</v>
      </c>
      <c r="C15" s="4" t="s">
        <v>54</v>
      </c>
      <c r="F15">
        <f>SUM('Material Production'!N14:U14)</f>
        <v>797.04378385643395</v>
      </c>
      <c r="G15">
        <f>SUM('Construction Phase'!F16:N16)</f>
        <v>103.56174566746256</v>
      </c>
      <c r="H15">
        <f>SUM('Operational Phase'!K16:M16)</f>
        <v>5976.5320753467304</v>
      </c>
      <c r="I15">
        <f>SUM('Demolition Phase'!AB17:AI17)</f>
        <v>133.30507053184297</v>
      </c>
      <c r="K15">
        <f t="shared" si="1"/>
        <v>11.369378807603979</v>
      </c>
      <c r="L15">
        <f t="shared" si="0"/>
        <v>1.4772497324716669</v>
      </c>
      <c r="M15">
        <f t="shared" si="0"/>
        <v>85.251850019636848</v>
      </c>
      <c r="N15">
        <f t="shared" si="0"/>
        <v>1.9015214402875056</v>
      </c>
    </row>
    <row r="16" spans="1:14" x14ac:dyDescent="0.25">
      <c r="A16" s="4" t="s">
        <v>27</v>
      </c>
      <c r="B16" s="4" t="s">
        <v>28</v>
      </c>
      <c r="C16" s="4" t="s">
        <v>26</v>
      </c>
      <c r="F16">
        <f>SUM('Material Production'!N15:U15)</f>
        <v>26695475.908110388</v>
      </c>
      <c r="G16">
        <f>SUM('Construction Phase'!F17:N17)</f>
        <v>4954181.7787770005</v>
      </c>
      <c r="H16">
        <f>SUM('Operational Phase'!K17:M17)</f>
        <v>401580755.86407906</v>
      </c>
      <c r="I16">
        <f>SUM('Demolition Phase'!AB18:AI18)</f>
        <v>4813908.3612761451</v>
      </c>
      <c r="K16">
        <f t="shared" si="1"/>
        <v>6.0942408274061677</v>
      </c>
      <c r="L16">
        <f t="shared" si="0"/>
        <v>1.1309772849354538</v>
      </c>
      <c r="M16">
        <f t="shared" si="0"/>
        <v>91.67582725670654</v>
      </c>
      <c r="N16">
        <f t="shared" si="0"/>
        <v>1.098954630951833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3576-C2DB-4B4C-B2AA-C02370C39C32}">
  <sheetPr codeName="Sheet8"/>
  <dimension ref="A2:N16"/>
  <sheetViews>
    <sheetView workbookViewId="0">
      <selection activeCell="H25" sqref="H25"/>
    </sheetView>
  </sheetViews>
  <sheetFormatPr defaultRowHeight="15" x14ac:dyDescent="0.25"/>
  <cols>
    <col min="2" max="2" width="19.42578125" customWidth="1"/>
    <col min="3" max="3" width="8.7109375" customWidth="1"/>
    <col min="4" max="4" width="1.5703125" customWidth="1"/>
    <col min="5" max="5" width="1" customWidth="1"/>
    <col min="6" max="6" width="11.7109375" customWidth="1"/>
    <col min="7" max="7" width="17.28515625" bestFit="1" customWidth="1"/>
    <col min="8" max="8" width="12.42578125" bestFit="1" customWidth="1"/>
    <col min="9" max="9" width="9.28515625" customWidth="1"/>
    <col min="10" max="10" width="11.42578125" customWidth="1"/>
  </cols>
  <sheetData>
    <row r="2" spans="1:14" ht="24" x14ac:dyDescent="0.4">
      <c r="D2" s="14" t="s">
        <v>110</v>
      </c>
      <c r="N2" t="s">
        <v>120</v>
      </c>
    </row>
    <row r="4" spans="1:14" ht="18.75" x14ac:dyDescent="0.3">
      <c r="A4" s="5" t="s">
        <v>8</v>
      </c>
      <c r="B4" s="5" t="s">
        <v>9</v>
      </c>
      <c r="C4" s="5" t="s">
        <v>10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</row>
    <row r="5" spans="1:14" x14ac:dyDescent="0.25">
      <c r="A5" s="4" t="s">
        <v>11</v>
      </c>
      <c r="B5" s="4" t="s">
        <v>12</v>
      </c>
      <c r="C5" s="4" t="s">
        <v>13</v>
      </c>
      <c r="F5">
        <f>'Material Production'!N4 + 'Construction Phase'!F6 + 'Demolition Phase'!AB7</f>
        <v>4938.2880224628962</v>
      </c>
      <c r="G5">
        <f>'Material Production'!O4 + 'Construction Phase'!G6 + 'Demolition Phase'!AC7</f>
        <v>442.52505803464589</v>
      </c>
      <c r="H5">
        <f>'Material Production'!P4 + 'Construction Phase'!H6 + 'Demolition Phase'!AD7</f>
        <v>958.94662107056422</v>
      </c>
      <c r="I5">
        <f>'Material Production'!Q4 + 'Construction Phase'!I6 + 'Demolition Phase'!AE7</f>
        <v>423.24853852954783</v>
      </c>
      <c r="J5">
        <f>'Material Production'!R4 + 'Construction Phase'!J6 + 'Demolition Phase'!AF7</f>
        <v>93.952440586226118</v>
      </c>
      <c r="K5">
        <f>'Material Production'!S4 + 'Construction Phase'!K6 + 'Demolition Phase'!AG7</f>
        <v>129.92854653490096</v>
      </c>
      <c r="L5">
        <f>'Material Production'!T4 + 'Construction Phase'!L6 + 'Demolition Phase'!AH7</f>
        <v>2218.7663326827906</v>
      </c>
      <c r="M5">
        <f>'Material Production'!U4 + 'Construction Phase'!M6 + 'Demolition Phase'!AI7</f>
        <v>936.78458756338705</v>
      </c>
    </row>
    <row r="6" spans="1:14" x14ac:dyDescent="0.25">
      <c r="A6" s="4" t="s">
        <v>14</v>
      </c>
      <c r="B6" s="4" t="s">
        <v>15</v>
      </c>
      <c r="C6" s="4" t="s">
        <v>16</v>
      </c>
      <c r="F6">
        <f>'Material Production'!N5 + 'Construction Phase'!F7 + 'Demolition Phase'!AB8</f>
        <v>942507.47128251405</v>
      </c>
      <c r="G6">
        <f>'Material Production'!O5 + 'Construction Phase'!G7 + 'Demolition Phase'!AC8</f>
        <v>124545.46063997137</v>
      </c>
      <c r="H6">
        <f>'Material Production'!P5 + 'Construction Phase'!H7 + 'Demolition Phase'!AD8</f>
        <v>269888.55542057677</v>
      </c>
      <c r="I6">
        <f>'Material Production'!Q5 + 'Construction Phase'!I7 + 'Demolition Phase'!AE8</f>
        <v>119120.22435626725</v>
      </c>
      <c r="J6">
        <f>'Material Production'!R5 + 'Construction Phase'!J7 + 'Demolition Phase'!AF8</f>
        <v>26640.98738604625</v>
      </c>
      <c r="K6">
        <f>'Material Production'!S5 + 'Construction Phase'!K7 + 'Demolition Phase'!AG8</f>
        <v>36842.308169172575</v>
      </c>
      <c r="L6">
        <f>'Material Production'!T5 + 'Construction Phase'!L7 + 'Demolition Phase'!AH8</f>
        <v>624455.6549717536</v>
      </c>
      <c r="M6">
        <f>'Material Production'!U5 + 'Construction Phase'!M7 + 'Demolition Phase'!AI8</f>
        <v>263651.21219728357</v>
      </c>
    </row>
    <row r="7" spans="1:14" x14ac:dyDescent="0.25">
      <c r="A7" s="4" t="s">
        <v>40</v>
      </c>
      <c r="B7" s="4" t="s">
        <v>41</v>
      </c>
      <c r="C7" s="4" t="s">
        <v>17</v>
      </c>
      <c r="F7">
        <f>'Material Production'!N6 + 'Construction Phase'!F8 + 'Demolition Phase'!AB9</f>
        <v>642879.09309088334</v>
      </c>
      <c r="G7">
        <f>'Material Production'!O6 + 'Construction Phase'!G8 + 'Demolition Phase'!AC9</f>
        <v>188211.60177288522</v>
      </c>
      <c r="H7">
        <f>'Material Production'!P6 + 'Construction Phase'!H8 + 'Demolition Phase'!AD9</f>
        <v>407852.33805281256</v>
      </c>
      <c r="I7">
        <f>'Material Production'!Q6 + 'Construction Phase'!I8 + 'Demolition Phase'!AE9</f>
        <v>180013.04996934708</v>
      </c>
      <c r="J7">
        <f>'Material Production'!R6 + 'Construction Phase'!J8 + 'Demolition Phase'!AF9</f>
        <v>3335.2719402163793</v>
      </c>
      <c r="K7">
        <f>'Material Production'!S6 + 'Construction Phase'!K8 + 'Demolition Phase'!AG9</f>
        <v>4612.4084993113429</v>
      </c>
      <c r="L7">
        <f>'Material Production'!T6 + 'Construction Phase'!L8 + 'Demolition Phase'!AH9</f>
        <v>943669.87326915178</v>
      </c>
      <c r="M7">
        <f>'Material Production'!U6 + 'Construction Phase'!M8 + 'Demolition Phase'!AI9</f>
        <v>398426.54001223342</v>
      </c>
    </row>
    <row r="8" spans="1:14" x14ac:dyDescent="0.25">
      <c r="A8" s="4" t="s">
        <v>42</v>
      </c>
      <c r="B8" s="4" t="s">
        <v>43</v>
      </c>
      <c r="C8" s="4" t="s">
        <v>17</v>
      </c>
      <c r="F8">
        <f>'Material Production'!N7 + 'Construction Phase'!F9 + 'Demolition Phase'!AB10</f>
        <v>3103055638.099443</v>
      </c>
      <c r="G8">
        <f>'Material Production'!O7 + 'Construction Phase'!G9 + 'Demolition Phase'!AC10</f>
        <v>256357821.58618668</v>
      </c>
      <c r="H8">
        <f>'Material Production'!P7 + 'Construction Phase'!H9 + 'Demolition Phase'!AD10</f>
        <v>555524398.74678826</v>
      </c>
      <c r="I8">
        <f>'Material Production'!Q7 + 'Construction Phase'!I9 + 'Demolition Phase'!AE10</f>
        <v>245190800.73986953</v>
      </c>
      <c r="J8">
        <f>'Material Production'!R7 + 'Construction Phase'!J9 + 'Demolition Phase'!AF10</f>
        <v>20713136.540957563</v>
      </c>
      <c r="K8">
        <f>'Material Production'!S7 + 'Construction Phase'!K9 + 'Demolition Phase'!AG10</f>
        <v>28644574.937631901</v>
      </c>
      <c r="L8">
        <f>'Material Production'!T7 + 'Construction Phase'!L9 + 'Demolition Phase'!AH10</f>
        <v>1285346656.2582779</v>
      </c>
      <c r="M8">
        <f>'Material Production'!U7 + 'Construction Phase'!M9 + 'Demolition Phase'!AI10</f>
        <v>542685779.71569335</v>
      </c>
    </row>
    <row r="9" spans="1:14" x14ac:dyDescent="0.25">
      <c r="A9" s="4" t="s">
        <v>44</v>
      </c>
      <c r="B9" s="4" t="s">
        <v>45</v>
      </c>
      <c r="C9" s="4" t="s">
        <v>17</v>
      </c>
      <c r="F9">
        <f>'Material Production'!N8 + 'Construction Phase'!F10 + 'Demolition Phase'!AB11</f>
        <v>5000.1681303371643</v>
      </c>
      <c r="G9">
        <f>'Material Production'!O8 + 'Construction Phase'!G10 + 'Demolition Phase'!AC11</f>
        <v>372.1797844265098</v>
      </c>
      <c r="H9">
        <f>'Material Production'!P8 + 'Construction Phase'!H10 + 'Demolition Phase'!AD11</f>
        <v>806.50923654278211</v>
      </c>
      <c r="I9">
        <f>'Material Production'!Q8 + 'Construction Phase'!I10 + 'Demolition Phase'!AE11</f>
        <v>355.96752538345447</v>
      </c>
      <c r="J9">
        <f>'Material Production'!R8 + 'Construction Phase'!J10 + 'Demolition Phase'!AF11</f>
        <v>1388.6114563823717</v>
      </c>
      <c r="K9">
        <f>'Material Production'!S8 + 'Construction Phase'!K10 + 'Demolition Phase'!AG11</f>
        <v>1920.3361520331182</v>
      </c>
      <c r="L9">
        <f>'Material Production'!T8 + 'Construction Phase'!L10 + 'Demolition Phase'!AH11</f>
        <v>1866.0637638423345</v>
      </c>
      <c r="M9">
        <f>'Material Production'!U8 + 'Construction Phase'!M10 + 'Demolition Phase'!AI11</f>
        <v>787.87015452155913</v>
      </c>
    </row>
    <row r="10" spans="1:14" x14ac:dyDescent="0.25">
      <c r="A10" s="4" t="s">
        <v>46</v>
      </c>
      <c r="B10" s="4" t="s">
        <v>47</v>
      </c>
      <c r="C10" s="4" t="s">
        <v>48</v>
      </c>
      <c r="F10">
        <f>'Material Production'!N9 + 'Construction Phase'!F11 + 'Demolition Phase'!AB12</f>
        <v>16033465.814985994</v>
      </c>
      <c r="G10">
        <f>'Material Production'!O9 + 'Construction Phase'!G11 + 'Demolition Phase'!AC12</f>
        <v>1323905.5499022119</v>
      </c>
      <c r="H10">
        <f>'Material Production'!P9 + 'Construction Phase'!H11 + 'Demolition Phase'!AD12</f>
        <v>2868887.8305189619</v>
      </c>
      <c r="I10">
        <f>'Material Production'!Q9 + 'Construction Phase'!I11 + 'Demolition Phase'!AE12</f>
        <v>1266235.8412783907</v>
      </c>
      <c r="J10">
        <f>'Material Production'!R9 + 'Construction Phase'!J11 + 'Demolition Phase'!AF12</f>
        <v>378708.20405469212</v>
      </c>
      <c r="K10">
        <f>'Material Production'!S9 + 'Construction Phase'!K11 + 'Demolition Phase'!AG12</f>
        <v>523722.49413265934</v>
      </c>
      <c r="L10">
        <f>'Material Production'!T9 + 'Construction Phase'!L11 + 'Demolition Phase'!AH12</f>
        <v>6637899.9526506979</v>
      </c>
      <c r="M10">
        <f>'Material Production'!U9 + 'Construction Phase'!M11 + 'Demolition Phase'!AI12</f>
        <v>2802585.5079169883</v>
      </c>
    </row>
    <row r="11" spans="1:14" x14ac:dyDescent="0.25">
      <c r="A11" s="4" t="s">
        <v>18</v>
      </c>
      <c r="B11" s="4" t="s">
        <v>19</v>
      </c>
      <c r="C11" s="4" t="s">
        <v>20</v>
      </c>
      <c r="F11">
        <f>'Material Production'!N10 + 'Construction Phase'!F12 + 'Demolition Phase'!AB13</f>
        <v>6773.0019072260729</v>
      </c>
      <c r="G11">
        <f>'Material Production'!O10 + 'Construction Phase'!G12 + 'Demolition Phase'!AC13</f>
        <v>2990.3795403909739</v>
      </c>
      <c r="H11">
        <f>'Material Production'!P10 + 'Construction Phase'!H12 + 'Demolition Phase'!AD13</f>
        <v>6480.1174620759239</v>
      </c>
      <c r="I11">
        <f>'Material Production'!Q10 + 'Construction Phase'!I12 + 'Demolition Phase'!AE13</f>
        <v>2860.1177428014694</v>
      </c>
      <c r="J11">
        <f>'Material Production'!R10 + 'Construction Phase'!J12 + 'Demolition Phase'!AF13</f>
        <v>68.407010571181914</v>
      </c>
      <c r="K11">
        <f>'Material Production'!S10 + 'Construction Phase'!K12 + 'Demolition Phase'!AG13</f>
        <v>94.601304669187044</v>
      </c>
      <c r="L11">
        <f>'Material Production'!T10 + 'Construction Phase'!L12 + 'Demolition Phase'!AH13</f>
        <v>14993.396025143213</v>
      </c>
      <c r="M11">
        <f>'Material Production'!U10 + 'Construction Phase'!M12 + 'Demolition Phase'!AI13</f>
        <v>6330.3566962841433</v>
      </c>
    </row>
    <row r="12" spans="1:14" x14ac:dyDescent="0.25">
      <c r="A12" s="4" t="s">
        <v>21</v>
      </c>
      <c r="B12" s="4" t="s">
        <v>22</v>
      </c>
      <c r="C12" s="4" t="s">
        <v>17</v>
      </c>
      <c r="F12">
        <f>'Material Production'!N11 + 'Construction Phase'!F13 + 'Demolition Phase'!AB14</f>
        <v>1355216.4584268657</v>
      </c>
      <c r="G12">
        <f>'Material Production'!O11 + 'Construction Phase'!G13 + 'Demolition Phase'!AC14</f>
        <v>241861.76568870828</v>
      </c>
      <c r="H12">
        <f>'Material Production'!P11 + 'Construction Phase'!H13 + 'Demolition Phase'!AD14</f>
        <v>524111.61529114807</v>
      </c>
      <c r="I12">
        <f>'Material Production'!Q11 + 'Construction Phase'!I13 + 'Demolition Phase'!AE14</f>
        <v>231326.19722950741</v>
      </c>
      <c r="J12">
        <f>'Material Production'!R11 + 'Construction Phase'!J13 + 'Demolition Phase'!AF14</f>
        <v>261175.3478502137</v>
      </c>
      <c r="K12">
        <f>'Material Production'!S11 + 'Construction Phase'!K13 + 'Demolition Phase'!AG14</f>
        <v>361184.16004086594</v>
      </c>
      <c r="L12">
        <f>'Material Production'!T11 + 'Construction Phase'!L13 + 'Demolition Phase'!AH14</f>
        <v>1212665.2109976239</v>
      </c>
      <c r="M12">
        <f>'Material Production'!U11 + 'Construction Phase'!M13 + 'Demolition Phase'!AI14</f>
        <v>511998.97114145005</v>
      </c>
    </row>
    <row r="13" spans="1:14" x14ac:dyDescent="0.25">
      <c r="A13" s="4" t="s">
        <v>49</v>
      </c>
      <c r="B13" s="4" t="s">
        <v>50</v>
      </c>
      <c r="C13" s="4" t="s">
        <v>51</v>
      </c>
      <c r="F13">
        <f>'Material Production'!N12 + 'Construction Phase'!F14 + 'Demolition Phase'!AB15</f>
        <v>6.6720139660288709</v>
      </c>
      <c r="G13">
        <f>'Material Production'!O12 + 'Construction Phase'!G14 + 'Demolition Phase'!AC15</f>
        <v>-1.4293239579215171</v>
      </c>
      <c r="H13">
        <f>'Material Production'!P12 + 'Construction Phase'!H14 + 'Demolition Phase'!AD15</f>
        <v>-3.0973282867898848</v>
      </c>
      <c r="I13">
        <f>'Material Production'!Q12 + 'Construction Phase'!I14 + 'Demolition Phase'!AE15</f>
        <v>-1.3670621929576423</v>
      </c>
      <c r="J13">
        <f>'Material Production'!R12 + 'Construction Phase'!J14 + 'Demolition Phase'!AF15</f>
        <v>2.0535577998390013</v>
      </c>
      <c r="K13">
        <f>'Material Production'!S12 + 'Construction Phase'!K14 + 'Demolition Phase'!AG15</f>
        <v>2.8399025985239499</v>
      </c>
      <c r="L13">
        <f>'Material Production'!T12 + 'Construction Phase'!L14 + 'Demolition Phase'!AH15</f>
        <v>-7.1664549131246877</v>
      </c>
      <c r="M13">
        <f>'Material Production'!U12 + 'Construction Phase'!M14 + 'Demolition Phase'!AI15</f>
        <v>-3.0257465201239451</v>
      </c>
    </row>
    <row r="14" spans="1:14" x14ac:dyDescent="0.25">
      <c r="A14" s="4" t="s">
        <v>23</v>
      </c>
      <c r="B14" s="4" t="s">
        <v>24</v>
      </c>
      <c r="C14" s="4" t="s">
        <v>25</v>
      </c>
      <c r="F14">
        <f>'Material Production'!N13 + 'Construction Phase'!F15 + 'Demolition Phase'!AB16</f>
        <v>1.7573618753633422E-2</v>
      </c>
      <c r="G14">
        <f>'Material Production'!O13 + 'Construction Phase'!G15 + 'Demolition Phase'!AC16</f>
        <v>2.7690334567682423E-3</v>
      </c>
      <c r="H14">
        <f>'Material Production'!P13 + 'Construction Phase'!H15 + 'Demolition Phase'!AD16</f>
        <v>6.0004630896887167E-3</v>
      </c>
      <c r="I14">
        <f>'Material Production'!Q13 + 'Construction Phase'!I15 + 'Demolition Phase'!AE16</f>
        <v>2.6484135585940626E-3</v>
      </c>
      <c r="J14">
        <f>'Material Production'!R13 + 'Construction Phase'!J15 + 'Demolition Phase'!AF16</f>
        <v>4.0166316557745292E-4</v>
      </c>
      <c r="K14">
        <f>'Material Production'!S13 + 'Construction Phase'!K15 + 'Demolition Phase'!AG16</f>
        <v>5.5546732979426918E-4</v>
      </c>
      <c r="L14">
        <f>'Material Production'!T13 + 'Construction Phase'!L15 + 'Demolition Phase'!AH16</f>
        <v>1.3883593926264428E-2</v>
      </c>
      <c r="M14">
        <f>'Material Production'!U13 + 'Construction Phase'!M15 + 'Demolition Phase'!AI16</f>
        <v>5.8617875251366462E-3</v>
      </c>
    </row>
    <row r="15" spans="1:14" x14ac:dyDescent="0.25">
      <c r="A15" s="4" t="s">
        <v>52</v>
      </c>
      <c r="B15" s="4" t="s">
        <v>53</v>
      </c>
      <c r="C15" s="4" t="s">
        <v>54</v>
      </c>
      <c r="F15">
        <f>'Material Production'!N14 + 'Construction Phase'!F16 + 'Demolition Phase'!AB17</f>
        <v>433.1259297799121</v>
      </c>
      <c r="G15">
        <f>'Material Production'!O14 + 'Construction Phase'!G16 + 'Demolition Phase'!AC17</f>
        <v>51.524044181389904</v>
      </c>
      <c r="H15">
        <f>'Material Production'!P14 + 'Construction Phase'!H16 + 'Demolition Phase'!AD17</f>
        <v>111.65200065973671</v>
      </c>
      <c r="I15">
        <f>'Material Production'!Q14 + 'Construction Phase'!I16 + 'Demolition Phase'!AE17</f>
        <v>49.279641916227476</v>
      </c>
      <c r="J15">
        <f>'Material Production'!R14 + 'Construction Phase'!J16 + 'Demolition Phase'!AF17</f>
        <v>8.7800395995864431</v>
      </c>
      <c r="K15">
        <f>'Material Production'!S14 + 'Construction Phase'!K16 + 'Demolition Phase'!AG17</f>
        <v>12.142077167715259</v>
      </c>
      <c r="L15">
        <f>'Material Production'!T14 + 'Construction Phase'!L16 + 'Demolition Phase'!AH17</f>
        <v>258.33523430525895</v>
      </c>
      <c r="M15">
        <f>'Material Production'!U14 + 'Construction Phase'!M16 + 'Demolition Phase'!AI17</f>
        <v>109.0716324459127</v>
      </c>
    </row>
    <row r="16" spans="1:14" x14ac:dyDescent="0.25">
      <c r="A16" s="4" t="s">
        <v>27</v>
      </c>
      <c r="B16" s="4" t="s">
        <v>28</v>
      </c>
      <c r="C16" s="4" t="s">
        <v>26</v>
      </c>
      <c r="F16">
        <f>'Material Production'!N15 + 'Construction Phase'!F17 + 'Demolition Phase'!AB18</f>
        <v>18906458.510286458</v>
      </c>
      <c r="G16">
        <f>'Material Production'!O15 + 'Construction Phase'!G17 + 'Demolition Phase'!AC18</f>
        <v>1477586.3328231247</v>
      </c>
      <c r="H16">
        <f>'Material Production'!P15 + 'Construction Phase'!H17 + 'Demolition Phase'!AD18</f>
        <v>3201912.2882976905</v>
      </c>
      <c r="I16">
        <f>'Material Production'!Q15 + 'Construction Phase'!I17 + 'Demolition Phase'!AE18</f>
        <v>1413222.2448511815</v>
      </c>
      <c r="J16">
        <f>'Material Production'!R15 + 'Construction Phase'!J17 + 'Demolition Phase'!AF18</f>
        <v>389453.82445474766</v>
      </c>
      <c r="K16">
        <f>'Material Production'!S15 + 'Construction Phase'!K17 + 'Demolition Phase'!AG18</f>
        <v>538582.80889918911</v>
      </c>
      <c r="L16">
        <f>'Material Production'!T15 + 'Construction Phase'!L17 + 'Demolition Phase'!AH18</f>
        <v>7408436.5379451709</v>
      </c>
      <c r="M16">
        <f>'Material Production'!U15 + 'Construction Phase'!M17 + 'Demolition Phase'!AI18</f>
        <v>3127913.5006059683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1FD-7212-46C9-9E54-877C8CC7E62D}">
  <sheetPr codeName="Sheet10"/>
  <dimension ref="A1:O31"/>
  <sheetViews>
    <sheetView topLeftCell="A9" workbookViewId="0">
      <selection activeCell="O22" sqref="O22"/>
    </sheetView>
  </sheetViews>
  <sheetFormatPr defaultRowHeight="15" x14ac:dyDescent="0.25"/>
  <cols>
    <col min="13" max="13" width="12" bestFit="1" customWidth="1"/>
  </cols>
  <sheetData>
    <row r="1" spans="1:14" ht="24" x14ac:dyDescent="0.4">
      <c r="E1" s="14" t="s">
        <v>258</v>
      </c>
    </row>
    <row r="2" spans="1:14" x14ac:dyDescent="0.25">
      <c r="D2" t="s">
        <v>136</v>
      </c>
      <c r="E2" t="s">
        <v>111</v>
      </c>
      <c r="F2" t="s">
        <v>112</v>
      </c>
      <c r="G2" t="s">
        <v>113</v>
      </c>
      <c r="H2" t="s">
        <v>114</v>
      </c>
      <c r="I2" t="s">
        <v>116</v>
      </c>
      <c r="J2" t="s">
        <v>115</v>
      </c>
      <c r="K2" t="s">
        <v>117</v>
      </c>
      <c r="L2" t="s">
        <v>118</v>
      </c>
      <c r="M2" t="s">
        <v>119</v>
      </c>
      <c r="N2" t="s">
        <v>137</v>
      </c>
    </row>
    <row r="3" spans="1:14" x14ac:dyDescent="0.25">
      <c r="A3" s="5" t="s">
        <v>9</v>
      </c>
      <c r="B3" s="5" t="s">
        <v>10</v>
      </c>
    </row>
    <row r="4" spans="1:14" x14ac:dyDescent="0.25">
      <c r="A4" s="4" t="s">
        <v>12</v>
      </c>
      <c r="B4" s="4" t="s">
        <v>13</v>
      </c>
      <c r="D4">
        <f>(Material_Inventory!T7)</f>
        <v>6.7735945806496074E-4</v>
      </c>
      <c r="E4">
        <f xml:space="preserve"> (Material_Inventory!J7)</f>
        <v>1.8131283692201553E-3</v>
      </c>
      <c r="F4">
        <f xml:space="preserve"> Material_Inventory!G7</f>
        <v>1.3792000000000001E-4</v>
      </c>
      <c r="G4">
        <f xml:space="preserve"> (Material_Inventory!S7)</f>
        <v>2.7349249775735976E-4</v>
      </c>
      <c r="H4">
        <f xml:space="preserve"> Material_Inventory!Q7</f>
        <v>9.3248681293119952E-3</v>
      </c>
      <c r="I4">
        <f xml:space="preserve"> Material_Inventory!F7</f>
        <v>1.0383060675109497E-2</v>
      </c>
      <c r="J4">
        <f xml:space="preserve"> Material_Inventory!R7</f>
        <v>1.9774692347805552E-3</v>
      </c>
      <c r="K4">
        <f xml:space="preserve"> Material_Inventory!N7</f>
        <v>1.606081386816168E-4</v>
      </c>
      <c r="L4">
        <f xml:space="preserve"> Material_Inventory!H7</f>
        <v>2.4670329762132445E-2</v>
      </c>
      <c r="M4">
        <f xml:space="preserve"> Material_Inventory!O7</f>
        <v>5.07785846428002E-6</v>
      </c>
    </row>
    <row r="5" spans="1:14" x14ac:dyDescent="0.25">
      <c r="A5" s="4" t="s">
        <v>15</v>
      </c>
      <c r="B5" s="4" t="s">
        <v>16</v>
      </c>
      <c r="D5">
        <f>(Material_Inventory!T8)</f>
        <v>0.106</v>
      </c>
      <c r="E5">
        <f xml:space="preserve"> (Material_Inventory!J8)</f>
        <v>0.88400000000000001</v>
      </c>
      <c r="F5">
        <f xml:space="preserve"> Material_Inventory!G8</f>
        <v>8.9999999999999993E-3</v>
      </c>
      <c r="G5">
        <f xml:space="preserve"> (Material_Inventory!S8)</f>
        <v>8.9999999999999993E-3</v>
      </c>
      <c r="H5">
        <f xml:space="preserve"> Material_Inventory!Q8</f>
        <v>2.6</v>
      </c>
      <c r="I5">
        <f xml:space="preserve"> Material_Inventory!F8</f>
        <v>2.8994513667641728</v>
      </c>
      <c r="J5">
        <f xml:space="preserve"> Material_Inventory!R8</f>
        <v>0.70921348835187459</v>
      </c>
      <c r="K5">
        <f xml:space="preserve"> Material_Inventory!N8</f>
        <v>5.3323785808854524E-2</v>
      </c>
      <c r="L5">
        <f xml:space="preserve"> Material_Inventory!H8</f>
        <v>2.91</v>
      </c>
      <c r="M5">
        <f xml:space="preserve"> Material_Inventory!O8</f>
        <v>1.3512832393220771E-3</v>
      </c>
    </row>
    <row r="6" spans="1:14" x14ac:dyDescent="0.25">
      <c r="A6" s="4" t="s">
        <v>41</v>
      </c>
      <c r="B6" s="4" t="s">
        <v>17</v>
      </c>
      <c r="D6">
        <f>(Material_Inventory!T9)</f>
        <v>8.858188339997089E-2</v>
      </c>
      <c r="E6">
        <f xml:space="preserve"> (Material_Inventory!J9)</f>
        <v>0.11340538433806945</v>
      </c>
      <c r="F6">
        <f xml:space="preserve"> Material_Inventory!G9</f>
        <v>1.3930744E-2</v>
      </c>
      <c r="G6">
        <f xml:space="preserve"> (Material_Inventory!S9)</f>
        <v>3.3355359734502814E-2</v>
      </c>
      <c r="H6">
        <f xml:space="preserve"> Material_Inventory!Q9</f>
        <v>9.4158278578635812</v>
      </c>
      <c r="I6">
        <f xml:space="preserve"> Material_Inventory!F9</f>
        <v>8.0210743427563624E-2</v>
      </c>
      <c r="J6">
        <f xml:space="preserve"> Material_Inventory!R9</f>
        <v>0.278263708576585</v>
      </c>
      <c r="K6">
        <f xml:space="preserve"> Material_Inventory!N9</f>
        <v>1.3806990983295617E-2</v>
      </c>
      <c r="L6">
        <f xml:space="preserve"> Material_Inventory!H9</f>
        <v>4.4709808977035284</v>
      </c>
      <c r="M6">
        <f xml:space="preserve"> Material_Inventory!O9</f>
        <v>1.1117168736433456E-3</v>
      </c>
    </row>
    <row r="7" spans="1:14" x14ac:dyDescent="0.25">
      <c r="A7" s="4" t="s">
        <v>43</v>
      </c>
      <c r="B7" s="4" t="s">
        <v>17</v>
      </c>
      <c r="D7">
        <f>(Material_Inventory!T10)</f>
        <v>601.66175881987454</v>
      </c>
      <c r="E7">
        <f xml:space="preserve"> (Material_Inventory!J10)</f>
        <v>251.28378305541838</v>
      </c>
      <c r="F7">
        <f xml:space="preserve"> Material_Inventory!G10</f>
        <v>26.44341309</v>
      </c>
      <c r="G7">
        <f xml:space="preserve"> (Material_Inventory!S10)</f>
        <v>85.659508094058353</v>
      </c>
      <c r="H7">
        <f xml:space="preserve"> Material_Inventory!Q10</f>
        <v>11293.815986484664</v>
      </c>
      <c r="I7">
        <f xml:space="preserve"> Material_Inventory!F10</f>
        <v>1723.5923892186913</v>
      </c>
      <c r="J7">
        <f xml:space="preserve"> Material_Inventory!R10</f>
        <v>977.06712577532642</v>
      </c>
      <c r="K7">
        <f xml:space="preserve"> Material_Inventory!N10</f>
        <v>11.488046925367673</v>
      </c>
      <c r="L7">
        <f xml:space="preserve"> Material_Inventory!H10</f>
        <v>6665.9879821274826</v>
      </c>
      <c r="M7">
        <f xml:space="preserve"> Material_Inventory!O10</f>
        <v>2.6864710036334105</v>
      </c>
    </row>
    <row r="8" spans="1:14" x14ac:dyDescent="0.25">
      <c r="A8" s="4" t="s">
        <v>45</v>
      </c>
      <c r="B8" s="4" t="s">
        <v>17</v>
      </c>
      <c r="D8">
        <f>(Material_Inventory!T11)</f>
        <v>4.7768762548922082E-4</v>
      </c>
      <c r="E8">
        <f xml:space="preserve"> (Material_Inventory!J11)</f>
        <v>2.1503342069681226E-3</v>
      </c>
      <c r="F8">
        <f xml:space="preserve"> Material_Inventory!G11</f>
        <v>1.29049E-4</v>
      </c>
      <c r="G8">
        <f xml:space="preserve"> (Material_Inventory!S11)</f>
        <v>1.8646846757881331E-4</v>
      </c>
      <c r="H8">
        <f xml:space="preserve"> Material_Inventory!Q11</f>
        <v>7.4840044701435249E-4</v>
      </c>
      <c r="I8">
        <f xml:space="preserve"> Material_Inventory!F11</f>
        <v>4.2260286604301936E-2</v>
      </c>
      <c r="J8">
        <f xml:space="preserve"> Material_Inventory!R11</f>
        <v>3.2908728735262997E-3</v>
      </c>
      <c r="K8">
        <f xml:space="preserve"> Material_Inventory!N11</f>
        <v>6.4785249131359699E-4</v>
      </c>
      <c r="L8">
        <f xml:space="preserve"> Material_Inventory!H11</f>
        <v>0.43976753563327581</v>
      </c>
      <c r="M8">
        <f xml:space="preserve"> Material_Inventory!O11</f>
        <v>7.8263533968454779E-6</v>
      </c>
    </row>
    <row r="9" spans="1:14" x14ac:dyDescent="0.25">
      <c r="A9" s="4" t="s">
        <v>47</v>
      </c>
      <c r="B9" s="4" t="s">
        <v>48</v>
      </c>
      <c r="D9">
        <f>(Material_Inventory!T12)</f>
        <v>2.5208723154442851</v>
      </c>
      <c r="E9">
        <f xml:space="preserve"> (Material_Inventory!J12)</f>
        <v>3.8321534207533956</v>
      </c>
      <c r="F9">
        <f xml:space="preserve"> Material_Inventory!G12</f>
        <v>0.53110731300000003</v>
      </c>
      <c r="G9">
        <f xml:space="preserve"> (Material_Inventory!S12)</f>
        <v>0.37552878090781328</v>
      </c>
      <c r="H9">
        <f xml:space="preserve"> Material_Inventory!Q12</f>
        <v>35.184404429305715</v>
      </c>
      <c r="I9">
        <f xml:space="preserve"> Material_Inventory!F12</f>
        <v>42.008928537716912</v>
      </c>
      <c r="J9">
        <f xml:space="preserve"> Material_Inventory!R12</f>
        <v>9.0952750497080324</v>
      </c>
      <c r="K9">
        <f xml:space="preserve"> Material_Inventory!N12</f>
        <v>0.77306440575714086</v>
      </c>
      <c r="L9">
        <f xml:space="preserve"> Material_Inventory!H12</f>
        <v>58.060334537212221</v>
      </c>
      <c r="M9">
        <f xml:space="preserve"> Material_Inventory!O12</f>
        <v>1.5776950311669521E-2</v>
      </c>
    </row>
    <row r="10" spans="1:14" x14ac:dyDescent="0.25">
      <c r="A10" s="4" t="s">
        <v>19</v>
      </c>
      <c r="B10" s="4" t="s">
        <v>20</v>
      </c>
      <c r="D10">
        <f>(Material_Inventory!T13)</f>
        <v>8.7642796502516919E-4</v>
      </c>
      <c r="E10">
        <f xml:space="preserve"> (Material_Inventory!J13)</f>
        <v>1.2493390371103293E-3</v>
      </c>
      <c r="F10">
        <f xml:space="preserve"> Material_Inventory!G13</f>
        <v>1.7357000000000001E-4</v>
      </c>
      <c r="G10">
        <f xml:space="preserve"> (Material_Inventory!S13)</f>
        <v>2.563473456300841E-4</v>
      </c>
      <c r="H10">
        <f xml:space="preserve"> Material_Inventory!Q13</f>
        <v>0.1572833110349254</v>
      </c>
      <c r="I10">
        <f xml:space="preserve"> Material_Inventory!F13</f>
        <v>5.4881411652578814E-3</v>
      </c>
      <c r="J10">
        <f xml:space="preserve"> Material_Inventory!R13</f>
        <v>1.5723196573492761E-3</v>
      </c>
      <c r="K10">
        <f xml:space="preserve"> Material_Inventory!N13</f>
        <v>2.41567851778231E-4</v>
      </c>
      <c r="L10">
        <f xml:space="preserve"> Material_Inventory!H13</f>
        <v>0.18324820083654622</v>
      </c>
      <c r="M10">
        <f xml:space="preserve"> Material_Inventory!O13</f>
        <v>9.4491850390688423E-5</v>
      </c>
    </row>
    <row r="11" spans="1:14" x14ac:dyDescent="0.25">
      <c r="A11" s="4" t="s">
        <v>22</v>
      </c>
      <c r="B11" s="4" t="s">
        <v>17</v>
      </c>
      <c r="D11">
        <f>(Material_Inventory!T14)</f>
        <v>0.17550947688739932</v>
      </c>
      <c r="E11">
        <f xml:space="preserve"> (Material_Inventory!J14)</f>
        <v>0.35329426676073517</v>
      </c>
      <c r="F11">
        <f xml:space="preserve"> Material_Inventory!G14</f>
        <v>3.2382651999999998E-2</v>
      </c>
      <c r="G11">
        <f xml:space="preserve"> (Material_Inventory!S14)</f>
        <v>3.2089036169751811E-2</v>
      </c>
      <c r="H11">
        <f xml:space="preserve"> Material_Inventory!Q14</f>
        <v>10.176731919436641</v>
      </c>
      <c r="I11">
        <f xml:space="preserve"> Material_Inventory!F14</f>
        <v>9.543617802311072</v>
      </c>
      <c r="J11">
        <f xml:space="preserve"> Material_Inventory!R14</f>
        <v>0.84311715807265819</v>
      </c>
      <c r="K11">
        <f xml:space="preserve"> Material_Inventory!N14</f>
        <v>5.6337467321904686E-2</v>
      </c>
      <c r="L11">
        <f xml:space="preserve"> Material_Inventory!H14</f>
        <v>4.8783986487785116</v>
      </c>
      <c r="M11">
        <f xml:space="preserve"> Material_Inventory!O14</f>
        <v>1.389076928998255E-3</v>
      </c>
    </row>
    <row r="12" spans="1:14" x14ac:dyDescent="0.25">
      <c r="A12" s="4" t="s">
        <v>50</v>
      </c>
      <c r="B12" s="4" t="s">
        <v>51</v>
      </c>
      <c r="D12">
        <f>(Material_Inventory!T15)</f>
        <v>1.0358713959670552E-6</v>
      </c>
      <c r="E12">
        <f xml:space="preserve"> (Material_Inventory!J15)</f>
        <v>1.6832125533959504E-6</v>
      </c>
      <c r="F12">
        <f xml:space="preserve"> Material_Inventory!G15</f>
        <v>9.9757199999999995E-8</v>
      </c>
      <c r="G12">
        <f xml:space="preserve"> (Material_Inventory!S15)</f>
        <v>3.7503459835279742E-8</v>
      </c>
      <c r="H12">
        <f xml:space="preserve"> Material_Inventory!Q15</f>
        <v>-1.0112690460404332E-4</v>
      </c>
      <c r="I12">
        <f xml:space="preserve"> Material_Inventory!F15</f>
        <v>2.8311312778081846E-4</v>
      </c>
      <c r="J12">
        <f xml:space="preserve"> Material_Inventory!R15</f>
        <v>7.3846569840972909E-7</v>
      </c>
      <c r="K12">
        <f xml:space="preserve"> Material_Inventory!N15</f>
        <v>-7.4162659964855764E-9</v>
      </c>
      <c r="L12">
        <f xml:space="preserve"> Material_Inventory!H15</f>
        <v>1.0130592689967185E-5</v>
      </c>
      <c r="M12">
        <f xml:space="preserve"> Material_Inventory!O15</f>
        <v>-2.8512439646706104E-9</v>
      </c>
    </row>
    <row r="13" spans="1:14" x14ac:dyDescent="0.25">
      <c r="A13" s="4" t="s">
        <v>24</v>
      </c>
      <c r="B13" s="4" t="s">
        <v>25</v>
      </c>
      <c r="D13">
        <f>(Material_Inventory!T16)</f>
        <v>2.6870866809722612E-9</v>
      </c>
      <c r="E13">
        <f xml:space="preserve"> (Material_Inventory!J16)</f>
        <v>6.8254779741335586E-9</v>
      </c>
      <c r="F13">
        <f xml:space="preserve"> Material_Inventory!G16</f>
        <v>5.3083300000000004E-10</v>
      </c>
      <c r="G13">
        <f xml:space="preserve"> (Material_Inventory!S16)</f>
        <v>2.4076734786112514E-10</v>
      </c>
      <c r="H13">
        <f xml:space="preserve"> Material_Inventory!Q16</f>
        <v>1.0950677104341296E-7</v>
      </c>
      <c r="I13">
        <f xml:space="preserve"> Material_Inventory!F16</f>
        <v>4.7491133008583618E-8</v>
      </c>
      <c r="J13">
        <f xml:space="preserve"> Material_Inventory!R16</f>
        <v>7.8918166977570401E-9</v>
      </c>
      <c r="K13">
        <f xml:space="preserve"> Material_Inventory!N16</f>
        <v>9.3049339157988722E-10</v>
      </c>
      <c r="L13">
        <f xml:space="preserve"> Material_Inventory!H16</f>
        <v>2.9776320834192367E-7</v>
      </c>
      <c r="M13">
        <f xml:space="preserve"> Material_Inventory!O16</f>
        <v>2.1334319966761102E-11</v>
      </c>
    </row>
    <row r="14" spans="1:14" x14ac:dyDescent="0.25">
      <c r="A14" s="4" t="s">
        <v>53</v>
      </c>
      <c r="B14" s="4" t="s">
        <v>54</v>
      </c>
      <c r="D14">
        <f>(Material_Inventory!T17)</f>
        <v>6.3795581860435317E-5</v>
      </c>
      <c r="E14">
        <f xml:space="preserve"> (Material_Inventory!J17)</f>
        <v>1.499809440395E-4</v>
      </c>
      <c r="F14">
        <f xml:space="preserve"> Material_Inventory!G17</f>
        <v>1.15145E-5</v>
      </c>
      <c r="G14">
        <f xml:space="preserve"> (Material_Inventory!S17)</f>
        <v>1.5664107410331129E-5</v>
      </c>
      <c r="H14">
        <f xml:space="preserve"> Material_Inventory!Q17</f>
        <v>1.7190397565609414E-3</v>
      </c>
      <c r="I14">
        <f xml:space="preserve"> Material_Inventory!F17</f>
        <v>7.0996450388726253E-4</v>
      </c>
      <c r="J14">
        <f xml:space="preserve"> Material_Inventory!R17</f>
        <v>1.650321717141514E-4</v>
      </c>
      <c r="K14">
        <f xml:space="preserve"> Material_Inventory!N17</f>
        <v>3.329748047355755E-5</v>
      </c>
      <c r="L14">
        <f xml:space="preserve"> Material_Inventory!H17</f>
        <v>3.6686578753279699E-3</v>
      </c>
      <c r="M14">
        <f xml:space="preserve"> Material_Inventory!O17</f>
        <v>3.7661156600309649E-7</v>
      </c>
    </row>
    <row r="15" spans="1:14" x14ac:dyDescent="0.25">
      <c r="A15" s="4" t="s">
        <v>28</v>
      </c>
      <c r="B15" s="4" t="s">
        <v>26</v>
      </c>
      <c r="D15">
        <f>(Material_Inventory!T18)</f>
        <v>2.9851940019889667</v>
      </c>
      <c r="E15">
        <f xml:space="preserve"> (Material_Inventory!J18)</f>
        <v>4.4648494874002109</v>
      </c>
      <c r="F15">
        <f xml:space="preserve"> Material_Inventory!G18</f>
        <v>0.58089999999999997</v>
      </c>
      <c r="G15">
        <f xml:space="preserve"> (Material_Inventory!S18)</f>
        <v>0.54730086335060024</v>
      </c>
      <c r="H15">
        <f xml:space="preserve"> Material_Inventory!Q18</f>
        <v>37.113617005195202</v>
      </c>
      <c r="I15">
        <f xml:space="preserve"> Material_Inventory!F18</f>
        <v>38.158155127369724</v>
      </c>
      <c r="J15">
        <f xml:space="preserve"> Material_Inventory!R18</f>
        <v>9.9806718726759414</v>
      </c>
      <c r="K15">
        <f xml:space="preserve"> Material_Inventory!N18</f>
        <v>20.754735020608788</v>
      </c>
      <c r="L15">
        <f xml:space="preserve"> Material_Inventory!H18</f>
        <v>88.328709511261749</v>
      </c>
      <c r="M15">
        <f xml:space="preserve"> Material_Inventory!O18</f>
        <v>1.8655816253120516E-2</v>
      </c>
    </row>
    <row r="18" spans="1:15" ht="26.25" x14ac:dyDescent="0.4">
      <c r="D18" s="19" t="s">
        <v>259</v>
      </c>
    </row>
    <row r="19" spans="1:15" x14ac:dyDescent="0.25">
      <c r="A19" t="s">
        <v>9</v>
      </c>
      <c r="B19" t="s">
        <v>10</v>
      </c>
      <c r="D19" s="27" t="s">
        <v>136</v>
      </c>
      <c r="E19" s="27" t="s">
        <v>111</v>
      </c>
      <c r="F19" s="27" t="s">
        <v>112</v>
      </c>
      <c r="G19" s="27" t="s">
        <v>113</v>
      </c>
      <c r="H19" s="27" t="s">
        <v>114</v>
      </c>
      <c r="I19" s="27" t="s">
        <v>116</v>
      </c>
      <c r="J19" s="27" t="s">
        <v>115</v>
      </c>
      <c r="K19" s="27" t="s">
        <v>117</v>
      </c>
      <c r="L19" t="s">
        <v>306</v>
      </c>
      <c r="M19" t="s">
        <v>256</v>
      </c>
    </row>
    <row r="20" spans="1:15" x14ac:dyDescent="0.25">
      <c r="A20" t="s">
        <v>12</v>
      </c>
      <c r="B20" t="s">
        <v>13</v>
      </c>
      <c r="D20" s="27">
        <f>D4*Parameters_name!G$18</f>
        <v>2827.3875774526459</v>
      </c>
      <c r="E20" s="27">
        <f>E4*Parameters_name!G$16</f>
        <v>1568.1600707236976</v>
      </c>
      <c r="F20" s="27">
        <f>F4*Parameters_name!G$19</f>
        <v>312.25235836614968</v>
      </c>
      <c r="G20" s="27">
        <f>G4*Parameters_name!G$17</f>
        <v>563.64862684009927</v>
      </c>
      <c r="H20" s="27">
        <f>H4*Parameters_name!G$22</f>
        <v>1769.6229168597415</v>
      </c>
      <c r="I20" s="27">
        <f>I4*Parameters_name!G$24</f>
        <v>178.70270458461707</v>
      </c>
      <c r="J20" s="27">
        <f>J4*Parameters_name!G$21</f>
        <v>18.463550200991598</v>
      </c>
      <c r="K20" s="27">
        <f>K4*Parameters_name!G$25</f>
        <v>0.55284486258486598</v>
      </c>
      <c r="L20">
        <f>L4*Parameters_name!G$20</f>
        <v>16.425316534567479</v>
      </c>
      <c r="M20">
        <f>M4*Parameters_name!G$23</f>
        <v>1.8396207793173787</v>
      </c>
    </row>
    <row r="21" spans="1:15" x14ac:dyDescent="0.25">
      <c r="A21" t="s">
        <v>15</v>
      </c>
      <c r="B21" t="s">
        <v>16</v>
      </c>
      <c r="D21" s="27">
        <f>D5*Parameters_name!G$18</f>
        <v>442457.95883053582</v>
      </c>
      <c r="E21" s="27">
        <f>E5*Parameters_name!G$16</f>
        <v>764564.45448260801</v>
      </c>
      <c r="F21" s="27">
        <f>F5*Parameters_name!G$19</f>
        <v>20376.096471108951</v>
      </c>
      <c r="G21" s="27">
        <f>G5*Parameters_name!G$17</f>
        <v>18548.361228034384</v>
      </c>
      <c r="H21" s="27">
        <f>H5*Parameters_name!G$22</f>
        <v>493413.90355670365</v>
      </c>
      <c r="I21" s="27">
        <f>I5*Parameters_name!G$24</f>
        <v>49902.414833654817</v>
      </c>
      <c r="J21" s="27">
        <f>J5*Parameters_name!G$21</f>
        <v>6621.8976331423673</v>
      </c>
      <c r="K21" s="27">
        <f>K5*Parameters_name!G$25</f>
        <v>183.55097867387997</v>
      </c>
      <c r="L21">
        <f>L5*Parameters_name!G$20</f>
        <v>1937.4557039346137</v>
      </c>
      <c r="M21">
        <f>M5*Parameters_name!G$23</f>
        <v>489.54667470288683</v>
      </c>
      <c r="N21">
        <f>SUM(D21:M21)</f>
        <v>1798495.6403930993</v>
      </c>
      <c r="O21">
        <f>N21/F21</f>
        <v>88.264974743477836</v>
      </c>
    </row>
    <row r="22" spans="1:15" x14ac:dyDescent="0.25">
      <c r="A22" t="s">
        <v>41</v>
      </c>
      <c r="B22" t="s">
        <v>17</v>
      </c>
      <c r="D22" s="27">
        <f>D6*Parameters_name!G$18</f>
        <v>369752.446401091</v>
      </c>
      <c r="E22" s="27">
        <f>E6*Parameters_name!G$16</f>
        <v>98083.400239622802</v>
      </c>
      <c r="F22" s="27">
        <f>F6*Parameters_name!G$19</f>
        <v>31539.353739813581</v>
      </c>
      <c r="G22" s="27">
        <f>G6*Parameters_name!G$17</f>
        <v>68743.029027399039</v>
      </c>
      <c r="H22" s="27">
        <f>H6*Parameters_name!G$22</f>
        <v>1786884.7609870862</v>
      </c>
      <c r="I22" s="27">
        <f>I6*Parameters_name!G$24</f>
        <v>1380.5059255417725</v>
      </c>
      <c r="J22" s="27">
        <f>J6*Parameters_name!G$21</f>
        <v>2598.1369833994013</v>
      </c>
      <c r="K22" s="27">
        <f>K6*Parameters_name!G$25</f>
        <v>47.526383753205373</v>
      </c>
      <c r="L22">
        <f>L6*Parameters_name!G$20</f>
        <v>2976.744825580206</v>
      </c>
      <c r="M22">
        <f>M6*Parameters_name!G$23</f>
        <v>402.7559011064377</v>
      </c>
    </row>
    <row r="23" spans="1:15" x14ac:dyDescent="0.25">
      <c r="A23" t="s">
        <v>43</v>
      </c>
      <c r="B23" t="s">
        <v>17</v>
      </c>
      <c r="D23" s="27">
        <f>D7*Parameters_name!G$18</f>
        <v>2511415412.39464</v>
      </c>
      <c r="E23" s="27">
        <f>E7*Parameters_name!G$16</f>
        <v>217333312.79648411</v>
      </c>
      <c r="F23" s="27">
        <f>F7*Parameters_name!G$19</f>
        <v>59868170.683025032</v>
      </c>
      <c r="G23" s="27">
        <f>G7*Parameters_name!G$17</f>
        <v>176538166.52714774</v>
      </c>
      <c r="H23" s="27">
        <f>H7*Parameters_name!G$22</f>
        <v>2143279166.1317313</v>
      </c>
      <c r="I23" s="27">
        <f>I7*Parameters_name!G$24</f>
        <v>29664723.263460454</v>
      </c>
      <c r="J23" s="27">
        <f>J7*Parameters_name!G$21</f>
        <v>9122836.2035646401</v>
      </c>
      <c r="K23" s="27">
        <f>K7*Parameters_name!G$25</f>
        <v>39544.121337546705</v>
      </c>
      <c r="L23">
        <f>L7*Parameters_name!G$20</f>
        <v>4438163.7245128779</v>
      </c>
      <c r="M23">
        <f>M7*Parameters_name!G$23</f>
        <v>973262.23566145904</v>
      </c>
    </row>
    <row r="24" spans="1:15" x14ac:dyDescent="0.25">
      <c r="A24" t="s">
        <v>45</v>
      </c>
      <c r="B24" t="s">
        <v>17</v>
      </c>
      <c r="D24" s="27">
        <f>D8*Parameters_name!G$18</f>
        <v>1993.9310540808121</v>
      </c>
      <c r="E24" s="27">
        <f>E8*Parameters_name!G$16</f>
        <v>1859.8066741016676</v>
      </c>
      <c r="F24" s="27">
        <f>F8*Parameters_name!G$19</f>
        <v>292.16831927779327</v>
      </c>
      <c r="G24" s="27">
        <f>G8*Parameters_name!G$17</f>
        <v>384.2982771433164</v>
      </c>
      <c r="H24" s="27">
        <f>H8*Parameters_name!G$22</f>
        <v>142.02737922497445</v>
      </c>
      <c r="I24" s="27">
        <f>I8*Parameters_name!G$24</f>
        <v>727.34117126115871</v>
      </c>
      <c r="J24" s="27">
        <f>J8*Parameters_name!G$21</f>
        <v>30.72674681190534</v>
      </c>
      <c r="K24" s="27">
        <f>K8*Parameters_name!G$25</f>
        <v>2.2300359401184182</v>
      </c>
      <c r="L24">
        <f>L8*Parameters_name!G$20</f>
        <v>292.79385577936722</v>
      </c>
      <c r="M24">
        <f>M8*Parameters_name!G$23</f>
        <v>2.835353217581162</v>
      </c>
    </row>
    <row r="25" spans="1:15" x14ac:dyDescent="0.25">
      <c r="A25" t="s">
        <v>47</v>
      </c>
      <c r="B25" t="s">
        <v>48</v>
      </c>
      <c r="D25" s="27">
        <f>D9*Parameters_name!G$18</f>
        <v>10522453.010980047</v>
      </c>
      <c r="E25" s="27">
        <f>E9*Parameters_name!G$16</f>
        <v>3314398.5176832355</v>
      </c>
      <c r="F25" s="27">
        <f>F9*Parameters_name!G$19</f>
        <v>1202432.6495777175</v>
      </c>
      <c r="G25" s="27">
        <f>G9*Parameters_name!G$17</f>
        <v>773938.16442238924</v>
      </c>
      <c r="H25" s="27">
        <f>H9*Parameters_name!G$22</f>
        <v>6677105.5129928868</v>
      </c>
      <c r="I25" s="27">
        <f>I9*Parameters_name!G$24</f>
        <v>723015.05127366947</v>
      </c>
      <c r="J25" s="27">
        <f>J9*Parameters_name!G$21</f>
        <v>84922.21497986863</v>
      </c>
      <c r="K25" s="27">
        <f>K9*Parameters_name!G$25</f>
        <v>2661.0400237393201</v>
      </c>
      <c r="L25">
        <f>L9*Parameters_name!G$20</f>
        <v>38656.125883667926</v>
      </c>
      <c r="M25">
        <f>M9*Parameters_name!G$23</f>
        <v>5715.7177246609708</v>
      </c>
    </row>
    <row r="26" spans="1:15" x14ac:dyDescent="0.25">
      <c r="A26" t="s">
        <v>19</v>
      </c>
      <c r="B26" t="s">
        <v>20</v>
      </c>
      <c r="D26" s="27">
        <f>D10*Parameters_name!G$18</f>
        <v>3658.3257402550626</v>
      </c>
      <c r="E26" s="27">
        <f>E10*Parameters_name!G$16</f>
        <v>1080.5432345838074</v>
      </c>
      <c r="F26" s="27">
        <f>F10*Parameters_name!G$19</f>
        <v>392.96434049893122</v>
      </c>
      <c r="G26" s="27">
        <f>G10*Parameters_name!G$17</f>
        <v>528.31368517717578</v>
      </c>
      <c r="H26" s="27">
        <f>H10*Parameters_name!G$22</f>
        <v>29848.374023871424</v>
      </c>
      <c r="I26" s="27">
        <f>I10*Parameters_name!G$24</f>
        <v>94.456316885908265</v>
      </c>
      <c r="J26" s="27">
        <f>J10*Parameters_name!G$21</f>
        <v>14.680684996192049</v>
      </c>
      <c r="K26" s="27">
        <f>K10*Parameters_name!G$25</f>
        <v>0.83152414888513648</v>
      </c>
      <c r="L26">
        <f>L10*Parameters_name!G$20</f>
        <v>122.00524809158836</v>
      </c>
      <c r="M26">
        <f>M10*Parameters_name!G$23</f>
        <v>34.23277207855503</v>
      </c>
    </row>
    <row r="27" spans="1:15" x14ac:dyDescent="0.25">
      <c r="A27" t="s">
        <v>22</v>
      </c>
      <c r="B27" t="s">
        <v>17</v>
      </c>
      <c r="D27" s="27">
        <f>D11*Parameters_name!G$18</f>
        <v>732599.6688586208</v>
      </c>
      <c r="E27" s="27">
        <f>E11*Parameters_name!G$16</f>
        <v>305561.35558569507</v>
      </c>
      <c r="F27" s="27">
        <f>F11*Parameters_name!G$19</f>
        <v>73314.671238038805</v>
      </c>
      <c r="G27" s="27">
        <f>G11*Parameters_name!G$17</f>
        <v>66133.226037335276</v>
      </c>
      <c r="H27" s="27">
        <f>H11*Parameters_name!G$22</f>
        <v>1931285.0083920532</v>
      </c>
      <c r="I27" s="27">
        <f>I11*Parameters_name!G$24</f>
        <v>164255.06564584363</v>
      </c>
      <c r="J27" s="27">
        <f>J11*Parameters_name!G$21</f>
        <v>7872.1507771621018</v>
      </c>
      <c r="K27" s="27">
        <f>K11*Parameters_name!G$25</f>
        <v>193.92466431417978</v>
      </c>
      <c r="L27">
        <f>L11*Parameters_name!G$20</f>
        <v>3248.0004426607693</v>
      </c>
      <c r="M27">
        <f>M11*Parameters_name!G$23</f>
        <v>503.23867839783964</v>
      </c>
    </row>
    <row r="28" spans="1:15" x14ac:dyDescent="0.25">
      <c r="A28" t="s">
        <v>50</v>
      </c>
      <c r="B28" t="s">
        <v>51</v>
      </c>
      <c r="D28" s="27">
        <f>D12*Parameters_name!G$18</f>
        <v>4.323863617646424</v>
      </c>
      <c r="E28" s="27">
        <f>E12*Parameters_name!G$16</f>
        <v>1.4557969317482493</v>
      </c>
      <c r="F28" s="27">
        <f>F12*Parameters_name!G$19</f>
        <v>0.22585137009863443</v>
      </c>
      <c r="G28" s="27">
        <f>G12*Parameters_name!G$17</f>
        <v>7.7291968925094184E-2</v>
      </c>
      <c r="H28" s="27">
        <f>H12*Parameters_name!G$22</f>
        <v>-19.191315675110538</v>
      </c>
      <c r="I28" s="27">
        <f>I12*Parameters_name!G$24</f>
        <v>4.8726558787357757</v>
      </c>
      <c r="J28" s="27">
        <f>J12*Parameters_name!G$21</f>
        <v>6.8950243343793068E-3</v>
      </c>
      <c r="K28" s="27">
        <f>K12*Parameters_name!G$25</f>
        <v>-2.5528249000180792E-5</v>
      </c>
      <c r="L28">
        <f>L12*Parameters_name!G$20</f>
        <v>6.744870993613478E-3</v>
      </c>
      <c r="M28">
        <f>M12*Parameters_name!G$23</f>
        <v>-1.0329566452488804E-3</v>
      </c>
    </row>
    <row r="29" spans="1:15" x14ac:dyDescent="0.25">
      <c r="A29" t="s">
        <v>24</v>
      </c>
      <c r="B29" t="s">
        <v>25</v>
      </c>
      <c r="D29" s="27">
        <f>D13*Parameters_name!G$18</f>
        <v>1.1216253660978358E-2</v>
      </c>
      <c r="E29" s="27">
        <f>E13*Parameters_name!G$16</f>
        <v>5.9033007283670596E-3</v>
      </c>
      <c r="F29" s="27">
        <f>F13*Parameters_name!G$19</f>
        <v>1.2018116020053532E-3</v>
      </c>
      <c r="G29" s="27">
        <f>G13*Parameters_name!G$17</f>
        <v>4.9620441556044021E-4</v>
      </c>
      <c r="H29" s="27">
        <f>H13*Parameters_name!G$22</f>
        <v>2.0781601294777147E-2</v>
      </c>
      <c r="I29" s="27">
        <f>I13*Parameters_name!G$24</f>
        <v>8.1736919179971703E-4</v>
      </c>
      <c r="J29" s="27">
        <f>J13*Parameters_name!G$21</f>
        <v>7.3685573061383567E-5</v>
      </c>
      <c r="K29" s="27">
        <f>K13*Parameters_name!G$25</f>
        <v>3.2029416157039925E-6</v>
      </c>
      <c r="L29">
        <f>L13*Parameters_name!G$20</f>
        <v>1.9824846268863598E-4</v>
      </c>
      <c r="M29">
        <f>M13*Parameters_name!G$23</f>
        <v>7.7290571605217315E-6</v>
      </c>
    </row>
    <row r="30" spans="1:15" x14ac:dyDescent="0.25">
      <c r="A30" t="s">
        <v>53</v>
      </c>
      <c r="B30" t="s">
        <v>54</v>
      </c>
      <c r="D30" s="27">
        <f>D14*Parameters_name!G$18</f>
        <v>266.29115973938269</v>
      </c>
      <c r="E30" s="27">
        <f>E14*Parameters_name!G$16</f>
        <v>129.71730617912542</v>
      </c>
      <c r="F30" s="27">
        <f>F14*Parameters_name!G$19</f>
        <v>26.068951424064892</v>
      </c>
      <c r="G30" s="27">
        <f>G14*Parameters_name!G$17</f>
        <v>32.282613617950226</v>
      </c>
      <c r="H30" s="27">
        <f>H14*Parameters_name!G$22</f>
        <v>326.23004486688444</v>
      </c>
      <c r="I30" s="27">
        <f>I14*Parameters_name!G$24</f>
        <v>12.219188635569802</v>
      </c>
      <c r="J30" s="27">
        <f>J14*Parameters_name!G$21</f>
        <v>1.5408987071098694</v>
      </c>
      <c r="K30" s="27">
        <f>K14*Parameters_name!G$25</f>
        <v>0.11461648935063089</v>
      </c>
      <c r="L30">
        <f>L14*Parameters_name!G$20</f>
        <v>2.4425643045837853</v>
      </c>
      <c r="M30">
        <f>M14*Parameters_name!G$23</f>
        <v>0.13643989241216253</v>
      </c>
    </row>
    <row r="31" spans="1:15" x14ac:dyDescent="0.25">
      <c r="A31" t="s">
        <v>28</v>
      </c>
      <c r="B31" t="s">
        <v>26</v>
      </c>
      <c r="D31" s="27">
        <f>D15*Parameters_name!G$18</f>
        <v>12460592.875784874</v>
      </c>
      <c r="E31" s="27">
        <f>E15*Parameters_name!G$16</f>
        <v>3861612.2315396992</v>
      </c>
      <c r="F31" s="27">
        <f>F15*Parameters_name!G$19</f>
        <v>1315163.8266741321</v>
      </c>
      <c r="G31" s="27">
        <f>G15*Parameters_name!G$17</f>
        <v>1127948.2348713356</v>
      </c>
      <c r="H31" s="27">
        <f>H15*Parameters_name!G$22</f>
        <v>7043221.0160160847</v>
      </c>
      <c r="I31" s="27">
        <f>I15*Parameters_name!G$24</f>
        <v>656739.44673817791</v>
      </c>
      <c r="J31" s="27">
        <f>J15*Parameters_name!G$21</f>
        <v>93189.129276758104</v>
      </c>
      <c r="K31" s="27">
        <f>K15*Parameters_name!G$25</f>
        <v>71441.887843552351</v>
      </c>
      <c r="L31">
        <f>L15*Parameters_name!G$20</f>
        <v>58808.578028789561</v>
      </c>
      <c r="M31">
        <f>M15*Parameters_name!G$23</f>
        <v>6758.6813369823803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D9BB-CBB3-4200-85D5-4EAE57ADF258}">
  <sheetPr codeName="Sheet9"/>
  <dimension ref="A1:G30"/>
  <sheetViews>
    <sheetView workbookViewId="0">
      <selection activeCell="B27" sqref="B27"/>
    </sheetView>
  </sheetViews>
  <sheetFormatPr defaultRowHeight="15" x14ac:dyDescent="0.25"/>
  <cols>
    <col min="1" max="1" width="15.28515625" customWidth="1"/>
    <col min="2" max="2" width="18.140625" customWidth="1"/>
    <col min="3" max="3" width="16" customWidth="1"/>
    <col min="4" max="4" width="20.5703125" customWidth="1"/>
    <col min="5" max="5" width="20.85546875" customWidth="1"/>
    <col min="6" max="6" width="18.140625" customWidth="1"/>
  </cols>
  <sheetData>
    <row r="1" spans="1:7" x14ac:dyDescent="0.25">
      <c r="A1" t="s">
        <v>276</v>
      </c>
      <c r="B1" t="s">
        <v>272</v>
      </c>
      <c r="C1" t="s">
        <v>273</v>
      </c>
      <c r="D1" t="s">
        <v>274</v>
      </c>
      <c r="E1" t="s">
        <v>282</v>
      </c>
      <c r="F1" t="s">
        <v>283</v>
      </c>
      <c r="G1" t="s">
        <v>284</v>
      </c>
    </row>
    <row r="2" spans="1:7" x14ac:dyDescent="0.25">
      <c r="A2">
        <f>Material_Inventory!J8</f>
        <v>0.88400000000000001</v>
      </c>
      <c r="B2">
        <f>'Life Cycle Phase'!$F$6</f>
        <v>1798495.6403930995</v>
      </c>
      <c r="C2">
        <f>'Life Cycle Phase'!$G$6</f>
        <v>308651.80157938291</v>
      </c>
      <c r="D2">
        <f>'Life Cycle Phase'!$I$6</f>
        <v>300504.43245110312</v>
      </c>
      <c r="E2">
        <f>'Life Cycle Phase'!$H$6</f>
        <v>28819136.05622774</v>
      </c>
      <c r="F2">
        <f t="shared" ref="F2:F7" si="0">SUM(B2:D2)</f>
        <v>2407651.8744235858</v>
      </c>
      <c r="G2">
        <f t="shared" ref="G2:G7" si="1">SUM(B2:E2)</f>
        <v>31226787.930651326</v>
      </c>
    </row>
    <row r="3" spans="1:7" x14ac:dyDescent="0.25">
      <c r="A3">
        <v>0.88400000000000001</v>
      </c>
      <c r="B3">
        <v>1798495.6403930995</v>
      </c>
      <c r="C3">
        <v>308651.80157938291</v>
      </c>
      <c r="D3">
        <v>300504.43245110312</v>
      </c>
      <c r="E3">
        <v>28819136.05622774</v>
      </c>
      <c r="F3">
        <f t="shared" si="0"/>
        <v>2407651.8744235858</v>
      </c>
      <c r="G3">
        <f t="shared" si="1"/>
        <v>31226787.930651326</v>
      </c>
    </row>
    <row r="4" spans="1:7" x14ac:dyDescent="0.25">
      <c r="A4">
        <v>0.61850000000000005</v>
      </c>
      <c r="B4">
        <v>1568866.8364732664</v>
      </c>
      <c r="C4">
        <v>308651.80157938291</v>
      </c>
      <c r="D4">
        <v>300504.43245110312</v>
      </c>
      <c r="E4">
        <v>28819136.05622774</v>
      </c>
      <c r="F4">
        <f t="shared" si="0"/>
        <v>2178023.0705037527</v>
      </c>
      <c r="G4">
        <f t="shared" si="1"/>
        <v>30997159.126731493</v>
      </c>
    </row>
    <row r="5" spans="1:7" x14ac:dyDescent="0.25">
      <c r="A5">
        <v>0.69069999999999998</v>
      </c>
      <c r="B5">
        <v>1631312.0328687916</v>
      </c>
      <c r="C5">
        <v>308651.80157938291</v>
      </c>
      <c r="D5">
        <v>300504.43245110312</v>
      </c>
      <c r="E5">
        <v>28819136.05622774</v>
      </c>
      <c r="F5">
        <f t="shared" si="0"/>
        <v>2240468.2668992775</v>
      </c>
      <c r="G5">
        <f t="shared" si="1"/>
        <v>31059604.323127016</v>
      </c>
    </row>
    <row r="6" spans="1:7" x14ac:dyDescent="0.25">
      <c r="A6">
        <v>0.65459999999999996</v>
      </c>
      <c r="B6">
        <v>1600089.4346710292</v>
      </c>
      <c r="C6">
        <v>308651.80157938291</v>
      </c>
      <c r="D6">
        <v>300504.43245110312</v>
      </c>
      <c r="E6">
        <v>28819136.05622774</v>
      </c>
      <c r="F6">
        <f t="shared" si="0"/>
        <v>2209245.6687015155</v>
      </c>
      <c r="G6">
        <f t="shared" si="1"/>
        <v>31028381.724929255</v>
      </c>
    </row>
    <row r="7" spans="1:7" x14ac:dyDescent="0.25">
      <c r="A7">
        <v>0.56869999999999998</v>
      </c>
      <c r="B7">
        <v>1525795.219014857</v>
      </c>
      <c r="C7">
        <v>308651.80157938291</v>
      </c>
      <c r="D7">
        <v>300504.43245110312</v>
      </c>
      <c r="E7">
        <v>28819136.05622774</v>
      </c>
      <c r="F7">
        <f t="shared" si="0"/>
        <v>2134951.453045343</v>
      </c>
      <c r="G7">
        <f t="shared" si="1"/>
        <v>30954087.509273082</v>
      </c>
    </row>
    <row r="9" spans="1:7" x14ac:dyDescent="0.25">
      <c r="A9">
        <f>Material_Inventory!T8</f>
        <v>0.106</v>
      </c>
      <c r="B9">
        <f>'Life Cycle Phase'!$F$6</f>
        <v>1798495.6403930995</v>
      </c>
      <c r="C9">
        <f>'Life Cycle Phase'!$G$6</f>
        <v>308651.80157938291</v>
      </c>
      <c r="D9">
        <f>'Life Cycle Phase'!$I$6</f>
        <v>300504.43245110312</v>
      </c>
      <c r="E9">
        <f>'Life Cycle Phase'!$H$6</f>
        <v>28819136.05622774</v>
      </c>
      <c r="F9">
        <f t="shared" ref="F9:F20" si="2">SUM(B9:D9)</f>
        <v>2407651.8744235858</v>
      </c>
      <c r="G9">
        <f t="shared" ref="G9:G20" si="3">SUM(B9:E9)</f>
        <v>31226787.930651326</v>
      </c>
    </row>
    <row r="10" spans="1:7" x14ac:dyDescent="0.25">
      <c r="A10">
        <v>0.106</v>
      </c>
      <c r="B10">
        <v>1798495.6403930995</v>
      </c>
      <c r="C10">
        <v>308651.80157938291</v>
      </c>
      <c r="D10">
        <v>300504.43245110312</v>
      </c>
      <c r="E10">
        <v>28819136.05622774</v>
      </c>
      <c r="F10">
        <f t="shared" si="2"/>
        <v>2407651.8744235858</v>
      </c>
      <c r="G10">
        <f t="shared" si="3"/>
        <v>31226787.930651326</v>
      </c>
    </row>
    <row r="11" spans="1:7" x14ac:dyDescent="0.25">
      <c r="A11">
        <v>0.08</v>
      </c>
      <c r="B11">
        <v>1689968.2165290059</v>
      </c>
      <c r="C11">
        <v>308651.80157938291</v>
      </c>
      <c r="D11">
        <v>300504.43245110312</v>
      </c>
      <c r="E11">
        <v>28819136.05622774</v>
      </c>
      <c r="F11">
        <f t="shared" si="2"/>
        <v>2299124.4505594922</v>
      </c>
      <c r="G11">
        <f t="shared" si="3"/>
        <v>31118260.506787233</v>
      </c>
    </row>
    <row r="12" spans="1:7" x14ac:dyDescent="0.25">
      <c r="A12">
        <v>8.3000000000000004E-2</v>
      </c>
      <c r="B12">
        <v>1702490.6115902474</v>
      </c>
      <c r="C12">
        <v>308651.80157938291</v>
      </c>
      <c r="D12">
        <v>300504.43245110312</v>
      </c>
      <c r="E12">
        <v>28819136.05622774</v>
      </c>
      <c r="F12">
        <f t="shared" si="2"/>
        <v>2311646.8456207337</v>
      </c>
      <c r="G12">
        <f t="shared" si="3"/>
        <v>31130782.901848473</v>
      </c>
    </row>
    <row r="13" spans="1:7" x14ac:dyDescent="0.25">
      <c r="A13">
        <v>9.2999999999999999E-2</v>
      </c>
      <c r="B13">
        <v>1744231.9284610527</v>
      </c>
      <c r="C13">
        <v>308651.80157938291</v>
      </c>
      <c r="D13">
        <v>300504.43245110312</v>
      </c>
      <c r="E13">
        <v>28819136.05622774</v>
      </c>
      <c r="F13">
        <f t="shared" si="2"/>
        <v>2353388.1624915386</v>
      </c>
      <c r="G13">
        <f t="shared" si="3"/>
        <v>31172524.218719278</v>
      </c>
    </row>
    <row r="14" spans="1:7" x14ac:dyDescent="0.25">
      <c r="A14">
        <v>4.4999999999999998E-2</v>
      </c>
      <c r="B14">
        <v>1543873.6074811874</v>
      </c>
      <c r="C14">
        <v>308651.80157938291</v>
      </c>
      <c r="D14">
        <v>300504.43245110312</v>
      </c>
      <c r="E14">
        <v>28819136.05622774</v>
      </c>
      <c r="F14">
        <f t="shared" si="2"/>
        <v>2153029.8415116733</v>
      </c>
      <c r="G14">
        <f t="shared" si="3"/>
        <v>30972165.897739414</v>
      </c>
    </row>
    <row r="15" spans="1:7" x14ac:dyDescent="0.25">
      <c r="A15">
        <v>6.3E-2</v>
      </c>
      <c r="B15">
        <v>1619007.9778486369</v>
      </c>
      <c r="C15">
        <v>308651.80157938291</v>
      </c>
      <c r="D15">
        <v>300504.43245110312</v>
      </c>
      <c r="E15">
        <v>28819136.05622774</v>
      </c>
      <c r="F15">
        <f t="shared" si="2"/>
        <v>2228164.211879123</v>
      </c>
      <c r="G15">
        <f t="shared" si="3"/>
        <v>31047300.268106863</v>
      </c>
    </row>
    <row r="17" spans="1:7" x14ac:dyDescent="0.25">
      <c r="A17">
        <f>Material_Inventory!Q8</f>
        <v>2.6</v>
      </c>
      <c r="B17">
        <f>'Life Cycle Phase'!$F$6</f>
        <v>1798495.6403930995</v>
      </c>
      <c r="C17">
        <f>'Life Cycle Phase'!$G$6</f>
        <v>308651.80157938291</v>
      </c>
      <c r="D17">
        <f>'Life Cycle Phase'!$I$6</f>
        <v>300504.43245110312</v>
      </c>
      <c r="E17">
        <f>'Life Cycle Phase'!$H$6</f>
        <v>28819136.05622774</v>
      </c>
      <c r="F17">
        <f t="shared" si="2"/>
        <v>2407651.8744235858</v>
      </c>
      <c r="G17">
        <f t="shared" si="3"/>
        <v>31226787.930651326</v>
      </c>
    </row>
    <row r="18" spans="1:7" x14ac:dyDescent="0.25">
      <c r="A18">
        <v>2.8</v>
      </c>
      <c r="B18">
        <v>1836450.5560513074</v>
      </c>
      <c r="C18">
        <v>308651.80157938291</v>
      </c>
      <c r="D18">
        <v>300504.43245110312</v>
      </c>
      <c r="E18">
        <v>28819136.05622774</v>
      </c>
      <c r="F18">
        <f t="shared" si="2"/>
        <v>2445606.7900817934</v>
      </c>
      <c r="G18">
        <f t="shared" si="3"/>
        <v>31264742.846309535</v>
      </c>
    </row>
    <row r="19" spans="1:7" x14ac:dyDescent="0.25">
      <c r="A19">
        <v>2.1</v>
      </c>
      <c r="B19">
        <v>1703608.3512475796</v>
      </c>
      <c r="C19">
        <v>308651.80157938291</v>
      </c>
      <c r="D19">
        <v>300504.43245110312</v>
      </c>
      <c r="E19">
        <v>28819136.05622774</v>
      </c>
      <c r="F19">
        <f t="shared" si="2"/>
        <v>2312764.5852780659</v>
      </c>
      <c r="G19">
        <f t="shared" si="3"/>
        <v>31131900.641505808</v>
      </c>
    </row>
    <row r="20" spans="1:7" x14ac:dyDescent="0.25">
      <c r="A20">
        <v>0.83</v>
      </c>
      <c r="B20">
        <v>1462594.6368179589</v>
      </c>
      <c r="C20">
        <v>308651.80157938291</v>
      </c>
      <c r="D20">
        <v>300504.43245110312</v>
      </c>
      <c r="E20">
        <v>28819136.05622774</v>
      </c>
      <c r="F20">
        <f t="shared" si="2"/>
        <v>2071750.870848445</v>
      </c>
      <c r="G20">
        <f t="shared" si="3"/>
        <v>30890886.927076183</v>
      </c>
    </row>
    <row r="22" spans="1:7" x14ac:dyDescent="0.25">
      <c r="A22">
        <v>8.9999999999999993E-3</v>
      </c>
      <c r="B22">
        <f>'Life Cycle Phase'!$F$6</f>
        <v>1798495.6403930995</v>
      </c>
      <c r="C22">
        <f>'Life Cycle Phase'!$G$6</f>
        <v>308651.80157938291</v>
      </c>
      <c r="D22">
        <f>'Life Cycle Phase'!$I$6</f>
        <v>300504.43245110312</v>
      </c>
      <c r="E22">
        <f>'Life Cycle Phase'!$H$6</f>
        <v>28819136.05622774</v>
      </c>
      <c r="F22">
        <f>SUM(B22:D22)</f>
        <v>2407651.8744235858</v>
      </c>
      <c r="G22">
        <f>SUM(B22:E22)</f>
        <v>31226787.930651326</v>
      </c>
    </row>
    <row r="23" spans="1:7" x14ac:dyDescent="0.25">
      <c r="A23">
        <v>8.9999999999999993E-3</v>
      </c>
      <c r="B23">
        <v>1798495.6403930995</v>
      </c>
      <c r="C23">
        <v>308651.80157938291</v>
      </c>
      <c r="D23">
        <v>300504.43245110312</v>
      </c>
      <c r="E23">
        <v>28819136.05622774</v>
      </c>
      <c r="F23">
        <f>SUM(B23:D23)</f>
        <v>2407651.8744235858</v>
      </c>
      <c r="G23">
        <f>SUM(B23:E23)</f>
        <v>31226787.930651326</v>
      </c>
    </row>
    <row r="24" spans="1:7" x14ac:dyDescent="0.25">
      <c r="A24">
        <v>8.9999999999999998E-4</v>
      </c>
      <c r="B24">
        <v>1780157.1535691009</v>
      </c>
      <c r="C24">
        <v>308651.80157938291</v>
      </c>
      <c r="D24">
        <v>300504.43245110312</v>
      </c>
      <c r="E24">
        <v>28819136.05622774</v>
      </c>
      <c r="F24">
        <f>SUM(B24:D24)</f>
        <v>2389313.387599587</v>
      </c>
      <c r="G24">
        <f>SUM(B24:E24)</f>
        <v>31208449.443827327</v>
      </c>
    </row>
    <row r="30" spans="1:7" x14ac:dyDescent="0.25">
      <c r="F30">
        <f>(F23-F24)/F23</f>
        <v>7.6167518314454244E-3</v>
      </c>
      <c r="G30">
        <f>(G23-G24)/G23</f>
        <v>5.8726779279138911E-4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40781-03C9-43BD-8F4A-C2DC6D4F21F1}">
  <sheetPr codeName="Sheet12"/>
  <dimension ref="A1:F26"/>
  <sheetViews>
    <sheetView workbookViewId="0">
      <selection activeCell="C2" sqref="C2"/>
    </sheetView>
  </sheetViews>
  <sheetFormatPr defaultRowHeight="15.75" x14ac:dyDescent="0.25"/>
  <cols>
    <col min="1" max="1" width="20.7109375" style="24" customWidth="1"/>
    <col min="2" max="2" width="28" customWidth="1"/>
    <col min="3" max="3" width="25.42578125" customWidth="1"/>
    <col min="4" max="4" width="21.7109375" customWidth="1"/>
  </cols>
  <sheetData>
    <row r="1" spans="1:4" x14ac:dyDescent="0.25">
      <c r="A1" s="24" t="s">
        <v>281</v>
      </c>
      <c r="B1" t="s">
        <v>290</v>
      </c>
      <c r="C1" t="s">
        <v>291</v>
      </c>
      <c r="D1" t="s">
        <v>289</v>
      </c>
    </row>
    <row r="2" spans="1:4" x14ac:dyDescent="0.25">
      <c r="A2" s="24" t="s">
        <v>285</v>
      </c>
      <c r="B2">
        <f>'Material Impacts'!E21</f>
        <v>764564.45448260801</v>
      </c>
      <c r="C2">
        <f>'Life cycle impact'!F2</f>
        <v>2407651.8744235858</v>
      </c>
      <c r="D2">
        <f>'Life cycle impact'!G2</f>
        <v>31226787.930651326</v>
      </c>
    </row>
    <row r="3" spans="1:4" x14ac:dyDescent="0.25">
      <c r="A3" s="24" t="s">
        <v>275</v>
      </c>
      <c r="B3">
        <v>764564.45448260801</v>
      </c>
      <c r="C3">
        <f>'Life cycle impact'!F3</f>
        <v>2407651.8744235858</v>
      </c>
      <c r="D3">
        <f>'Life cycle impact'!G3</f>
        <v>31226787.930651326</v>
      </c>
    </row>
    <row r="4" spans="1:4" x14ac:dyDescent="0.25">
      <c r="A4" s="24" t="s">
        <v>296</v>
      </c>
      <c r="B4">
        <v>534935.65056277497</v>
      </c>
      <c r="C4">
        <f>'Life cycle impact'!F4</f>
        <v>2178023.0705037527</v>
      </c>
      <c r="D4">
        <f>'Life cycle impact'!G4</f>
        <v>30997159.126731493</v>
      </c>
    </row>
    <row r="5" spans="1:4" x14ac:dyDescent="0.25">
      <c r="A5" s="24" t="s">
        <v>297</v>
      </c>
      <c r="B5">
        <v>597380.8469583001</v>
      </c>
      <c r="C5">
        <f>'Life cycle impact'!F5</f>
        <v>2240468.2668992775</v>
      </c>
      <c r="D5">
        <f>'Life cycle impact'!G5</f>
        <v>31059604.323127016</v>
      </c>
    </row>
    <row r="6" spans="1:4" x14ac:dyDescent="0.25">
      <c r="A6" s="24" t="s">
        <v>292</v>
      </c>
      <c r="B6">
        <v>566158.24876053748</v>
      </c>
      <c r="C6">
        <f>'Life cycle impact'!F6</f>
        <v>2209245.6687015155</v>
      </c>
      <c r="D6">
        <f>'Life cycle impact'!G6</f>
        <v>31028381.724929255</v>
      </c>
    </row>
    <row r="7" spans="1:4" x14ac:dyDescent="0.25">
      <c r="A7" s="24" t="s">
        <v>277</v>
      </c>
      <c r="B7">
        <v>491864.03310436552</v>
      </c>
      <c r="C7">
        <f>'Life cycle impact'!F7</f>
        <v>2134951.453045343</v>
      </c>
      <c r="D7">
        <f>'Life cycle impact'!G7</f>
        <v>30954087.509273082</v>
      </c>
    </row>
    <row r="9" spans="1:4" x14ac:dyDescent="0.25">
      <c r="A9" s="24" t="s">
        <v>286</v>
      </c>
      <c r="B9">
        <f>'Material Impacts'!D21</f>
        <v>442457.95883053582</v>
      </c>
      <c r="C9">
        <f>'Life cycle impact'!F9</f>
        <v>2407651.8744235858</v>
      </c>
      <c r="D9">
        <f>'Life cycle impact'!G9</f>
        <v>31226787.930651326</v>
      </c>
    </row>
    <row r="10" spans="1:4" x14ac:dyDescent="0.25">
      <c r="A10" s="24" t="s">
        <v>298</v>
      </c>
      <c r="B10">
        <v>442457.95883053582</v>
      </c>
      <c r="C10">
        <f>'Life cycle impact'!F10</f>
        <v>2407651.8744235858</v>
      </c>
      <c r="D10">
        <f>'Life cycle impact'!G10</f>
        <v>31226787.930651326</v>
      </c>
    </row>
    <row r="11" spans="1:4" x14ac:dyDescent="0.25">
      <c r="A11" s="24" t="s">
        <v>299</v>
      </c>
      <c r="B11">
        <v>333930.53496644215</v>
      </c>
      <c r="C11">
        <f>'Life cycle impact'!F11</f>
        <v>2299124.4505594922</v>
      </c>
      <c r="D11">
        <f>'Life cycle impact'!G11</f>
        <v>31118260.506787233</v>
      </c>
    </row>
    <row r="12" spans="1:4" x14ac:dyDescent="0.25">
      <c r="A12" s="24" t="s">
        <v>300</v>
      </c>
      <c r="B12">
        <v>346452.93002768373</v>
      </c>
      <c r="C12">
        <f>'Life cycle impact'!F12</f>
        <v>2311646.8456207337</v>
      </c>
      <c r="D12">
        <f>'Life cycle impact'!G12</f>
        <v>31130782.901848473</v>
      </c>
    </row>
    <row r="13" spans="1:4" x14ac:dyDescent="0.25">
      <c r="A13" s="24" t="s">
        <v>301</v>
      </c>
      <c r="B13">
        <v>388194.24689848896</v>
      </c>
      <c r="C13">
        <f>'Life cycle impact'!F13</f>
        <v>2353388.1624915386</v>
      </c>
      <c r="D13">
        <f>'Life cycle impact'!G13</f>
        <v>31172524.218719278</v>
      </c>
    </row>
    <row r="14" spans="1:4" ht="31.5" x14ac:dyDescent="0.25">
      <c r="A14" s="25" t="s">
        <v>302</v>
      </c>
      <c r="B14">
        <v>187835.92591862369</v>
      </c>
      <c r="C14">
        <f>'Life cycle impact'!F14</f>
        <v>2153029.8415116733</v>
      </c>
      <c r="D14">
        <f>'Life cycle impact'!G14</f>
        <v>30972165.897739414</v>
      </c>
    </row>
    <row r="15" spans="1:4" ht="31.5" x14ac:dyDescent="0.25">
      <c r="A15" s="26" t="s">
        <v>303</v>
      </c>
      <c r="B15">
        <v>262970.29628607316</v>
      </c>
      <c r="C15">
        <f>'Life cycle impact'!F15</f>
        <v>2228164.211879123</v>
      </c>
      <c r="D15">
        <f>'Life cycle impact'!G15</f>
        <v>31047300.268106863</v>
      </c>
    </row>
    <row r="16" spans="1:4" x14ac:dyDescent="0.25">
      <c r="A16" s="26"/>
    </row>
    <row r="17" spans="1:6" x14ac:dyDescent="0.25">
      <c r="A17" s="26" t="s">
        <v>287</v>
      </c>
      <c r="B17">
        <f>'Material Impacts'!H21</f>
        <v>493413.90355670365</v>
      </c>
      <c r="C17">
        <f>'Life cycle impact'!F17</f>
        <v>2407651.8744235858</v>
      </c>
      <c r="D17">
        <f>'Life cycle impact'!G17</f>
        <v>31226787.930651326</v>
      </c>
    </row>
    <row r="18" spans="1:6" x14ac:dyDescent="0.25">
      <c r="A18" s="25" t="s">
        <v>278</v>
      </c>
      <c r="B18">
        <v>531368.81921491155</v>
      </c>
      <c r="C18">
        <f>'Life cycle impact'!F18</f>
        <v>2445606.7900817934</v>
      </c>
      <c r="D18">
        <f>'Life cycle impact'!G18</f>
        <v>31264742.846309535</v>
      </c>
    </row>
    <row r="19" spans="1:6" x14ac:dyDescent="0.25">
      <c r="A19" s="25" t="s">
        <v>279</v>
      </c>
      <c r="B19">
        <v>398526.61441118369</v>
      </c>
      <c r="C19">
        <f>'Life cycle impact'!F19</f>
        <v>2312764.5852780659</v>
      </c>
      <c r="D19">
        <f>'Life cycle impact'!G19</f>
        <v>31131900.641505808</v>
      </c>
    </row>
    <row r="20" spans="1:6" ht="31.5" x14ac:dyDescent="0.25">
      <c r="A20" s="25" t="s">
        <v>280</v>
      </c>
      <c r="B20">
        <v>157512.89998156307</v>
      </c>
      <c r="C20">
        <f>'Life cycle impact'!F20</f>
        <v>2071750.870848445</v>
      </c>
      <c r="D20">
        <f>'Life cycle impact'!G20</f>
        <v>30890886.927076183</v>
      </c>
    </row>
    <row r="21" spans="1:6" x14ac:dyDescent="0.25">
      <c r="A21" s="26"/>
    </row>
    <row r="22" spans="1:6" x14ac:dyDescent="0.25">
      <c r="A22" s="26" t="s">
        <v>288</v>
      </c>
      <c r="B22">
        <f>'Material Impacts'!F21</f>
        <v>20376.096471108951</v>
      </c>
      <c r="C22">
        <f>'Life cycle impact'!F22</f>
        <v>2407651.8744235858</v>
      </c>
      <c r="D22">
        <f>'Life cycle impact'!G22</f>
        <v>31226787.930651326</v>
      </c>
      <c r="F22" t="s">
        <v>120</v>
      </c>
    </row>
    <row r="23" spans="1:6" x14ac:dyDescent="0.25">
      <c r="A23" s="25" t="s">
        <v>293</v>
      </c>
      <c r="B23">
        <v>20376.096471108951</v>
      </c>
      <c r="C23">
        <f>'Life cycle impact'!F23</f>
        <v>2407651.8744235858</v>
      </c>
      <c r="D23">
        <f>'Life cycle impact'!G23</f>
        <v>31226787.930651326</v>
      </c>
    </row>
    <row r="24" spans="1:6" x14ac:dyDescent="0.25">
      <c r="A24" s="25" t="s">
        <v>294</v>
      </c>
      <c r="B24">
        <v>2037.6096471108951</v>
      </c>
      <c r="C24">
        <f>'Life cycle impact'!F24</f>
        <v>2389313.387599587</v>
      </c>
      <c r="D24">
        <f>'Life cycle impact'!G24</f>
        <v>31208449.443827327</v>
      </c>
    </row>
    <row r="25" spans="1:6" x14ac:dyDescent="0.25">
      <c r="A25" s="25"/>
    </row>
    <row r="26" spans="1:6" x14ac:dyDescent="0.25">
      <c r="A26" s="25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97232C3FDB3646BC68E98209AEFE1C" ma:contentTypeVersion="6" ma:contentTypeDescription="Create a new document." ma:contentTypeScope="" ma:versionID="1bcb65333c2900fe9f593269e0a8fba1">
  <xsd:schema xmlns:xsd="http://www.w3.org/2001/XMLSchema" xmlns:xs="http://www.w3.org/2001/XMLSchema" xmlns:p="http://schemas.microsoft.com/office/2006/metadata/properties" xmlns:ns3="4ed996e4-470b-45a2-8021-7319ce3eedb8" targetNamespace="http://schemas.microsoft.com/office/2006/metadata/properties" ma:root="true" ma:fieldsID="33c702c84cd2386465cbde7ad325523b" ns3:_="">
    <xsd:import namespace="4ed996e4-470b-45a2-8021-7319ce3eedb8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d996e4-470b-45a2-8021-7319ce3eedb8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ed996e4-470b-45a2-8021-7319ce3eedb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EE5278-04FD-4EA1-A419-6315BDCE0E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d996e4-470b-45a2-8021-7319ce3ee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8627C8-3567-47C7-8C61-6ED2DA93EC14}">
  <ds:schemaRefs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terms/"/>
    <ds:schemaRef ds:uri="4ed996e4-470b-45a2-8021-7319ce3eedb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2097B7-00F4-4B30-9655-FB7D1273D8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Parameters_name</vt:lpstr>
      <vt:lpstr>Component Volume</vt:lpstr>
      <vt:lpstr>Material_Inventory</vt:lpstr>
      <vt:lpstr>Material Production</vt:lpstr>
      <vt:lpstr>Construction Phase</vt:lpstr>
      <vt:lpstr>Operational Phase</vt:lpstr>
      <vt:lpstr>Demolition Phase</vt:lpstr>
      <vt:lpstr>Life Cycle Phase</vt:lpstr>
      <vt:lpstr>Component Impact</vt:lpstr>
      <vt:lpstr>Material Impacts</vt:lpstr>
      <vt:lpstr>Life cycle impact</vt:lpstr>
      <vt:lpstr>Embodied material impact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Mohsin Jamil Md Nasir (P23CI0004)</dc:creator>
  <cp:lastModifiedBy>Mohsin Jamil Md Nasir (P23CI0004)</cp:lastModifiedBy>
  <dcterms:created xsi:type="dcterms:W3CDTF">2024-09-15T07:43:00Z</dcterms:created>
  <dcterms:modified xsi:type="dcterms:W3CDTF">2026-08-12T11:58:23Z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0x0101003897232C3FDB3646BC68E98209AEFE1C</vt:lpwstr>
  </property>
</Properties>
</file>