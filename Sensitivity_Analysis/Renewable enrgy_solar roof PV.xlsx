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Nasir\Sensitivity analysis\Solarenergy_distribution\"/>
    </mc:Choice>
  </mc:AlternateContent>
  <xr:revisionPtr revIDLastSave="0" documentId="13_ncr:1_{72473DCE-F433-4353-8F46-5E3069D4A3C8}" xr6:coauthVersionLast="47" xr6:coauthVersionMax="47" xr10:uidLastSave="{00000000-0000-0000-0000-000000000000}"/>
  <bookViews>
    <workbookView xWindow="-120" yWindow="-120" windowWidth="29040" windowHeight="15720" activeTab="1" xr2:uid="{E0AE959F-71BF-45E7-93A9-86CACB4CDEEB}"/>
  </bookViews>
  <sheets>
    <sheet name="Sheet1" sheetId="1" r:id="rId1"/>
    <sheet name="Sheet2" sheetId="4" r:id="rId2"/>
    <sheet name="Sheet3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C26" i="4"/>
  <c r="B30" i="1"/>
  <c r="B29" i="1"/>
  <c r="B28" i="1"/>
  <c r="B27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2" i="5"/>
  <c r="C4" i="1" l="1"/>
  <c r="C10" i="1" s="1"/>
  <c r="D4" i="1"/>
  <c r="D10" i="1" s="1"/>
  <c r="E4" i="1"/>
  <c r="E10" i="1" s="1"/>
  <c r="F4" i="1"/>
  <c r="F10" i="1" s="1"/>
  <c r="G4" i="1"/>
  <c r="G10" i="1" s="1"/>
  <c r="H4" i="1"/>
  <c r="H10" i="1" s="1"/>
  <c r="I4" i="1"/>
  <c r="I10" i="1" s="1"/>
  <c r="J4" i="1"/>
  <c r="J10" i="1" s="1"/>
  <c r="K4" i="1"/>
  <c r="K10" i="1" s="1"/>
  <c r="L4" i="1"/>
  <c r="L10" i="1" s="1"/>
  <c r="L12" i="1" s="1"/>
  <c r="M4" i="1"/>
  <c r="M10" i="1" s="1"/>
  <c r="M12" i="1" s="1"/>
  <c r="N4" i="1"/>
  <c r="N10" i="1" s="1"/>
  <c r="N11" i="1" s="1"/>
  <c r="O4" i="1"/>
  <c r="O10" i="1" s="1"/>
  <c r="O12" i="1" s="1"/>
  <c r="P4" i="1"/>
  <c r="P10" i="1" s="1"/>
  <c r="Q4" i="1"/>
  <c r="Q10" i="1" s="1"/>
  <c r="R4" i="1"/>
  <c r="R10" i="1" s="1"/>
  <c r="S4" i="1"/>
  <c r="S10" i="1" s="1"/>
  <c r="T4" i="1"/>
  <c r="T10" i="1" s="1"/>
  <c r="U4" i="1"/>
  <c r="U10" i="1" s="1"/>
  <c r="V4" i="1"/>
  <c r="V10" i="1" s="1"/>
  <c r="E11" i="1" l="1"/>
  <c r="E12" i="1"/>
  <c r="J12" i="1"/>
  <c r="J11" i="1"/>
  <c r="I12" i="1"/>
  <c r="I11" i="1"/>
  <c r="G12" i="1"/>
  <c r="G11" i="1"/>
  <c r="V11" i="1"/>
  <c r="V12" i="1"/>
  <c r="U11" i="1"/>
  <c r="U12" i="1"/>
  <c r="T11" i="1"/>
  <c r="T12" i="1"/>
  <c r="S12" i="1"/>
  <c r="S11" i="1"/>
  <c r="C12" i="1"/>
  <c r="C11" i="1"/>
  <c r="Q12" i="1"/>
  <c r="Q11" i="1"/>
  <c r="K12" i="1"/>
  <c r="K11" i="1"/>
  <c r="H12" i="1"/>
  <c r="H11" i="1"/>
  <c r="F11" i="1"/>
  <c r="F12" i="1"/>
  <c r="D11" i="1"/>
  <c r="D12" i="1"/>
  <c r="R12" i="1"/>
  <c r="R11" i="1"/>
  <c r="P12" i="1"/>
  <c r="P11" i="1"/>
  <c r="L11" i="1"/>
  <c r="M11" i="1"/>
  <c r="N12" i="1"/>
  <c r="O11" i="1"/>
  <c r="B13" i="1"/>
  <c r="O14" i="1" s="1"/>
  <c r="B4" i="1"/>
  <c r="B10" i="1" s="1"/>
  <c r="B12" i="1" s="1"/>
  <c r="B14" i="1" s="1"/>
  <c r="S14" i="1" l="1"/>
  <c r="R14" i="1"/>
  <c r="O20" i="1"/>
  <c r="O16" i="1"/>
  <c r="O18" i="1" s="1"/>
  <c r="U14" i="1"/>
  <c r="T14" i="1"/>
  <c r="D14" i="1"/>
  <c r="F14" i="1"/>
  <c r="H14" i="1"/>
  <c r="V14" i="1"/>
  <c r="K14" i="1"/>
  <c r="M14" i="1"/>
  <c r="B20" i="1"/>
  <c r="G14" i="1"/>
  <c r="N14" i="1"/>
  <c r="I14" i="1"/>
  <c r="Q14" i="1"/>
  <c r="L14" i="1"/>
  <c r="J14" i="1"/>
  <c r="E14" i="1"/>
  <c r="P14" i="1"/>
  <c r="C14" i="1"/>
  <c r="B16" i="1"/>
  <c r="B18" i="1" s="1"/>
  <c r="B11" i="1"/>
  <c r="S16" i="1" l="1"/>
  <c r="S20" i="1"/>
  <c r="R20" i="1"/>
  <c r="R16" i="1"/>
  <c r="H20" i="1"/>
  <c r="H16" i="1"/>
  <c r="H18" i="1" s="1"/>
  <c r="J20" i="1"/>
  <c r="J16" i="1"/>
  <c r="J18" i="1" s="1"/>
  <c r="Q20" i="1"/>
  <c r="Q16" i="1"/>
  <c r="Q18" i="1" s="1"/>
  <c r="U20" i="1"/>
  <c r="U16" i="1"/>
  <c r="U18" i="1" s="1"/>
  <c r="V20" i="1"/>
  <c r="V16" i="1"/>
  <c r="V18" i="1" s="1"/>
  <c r="I20" i="1"/>
  <c r="I16" i="1"/>
  <c r="I18" i="1" s="1"/>
  <c r="M20" i="1"/>
  <c r="M16" i="1"/>
  <c r="M18" i="1" s="1"/>
  <c r="F20" i="1"/>
  <c r="F16" i="1"/>
  <c r="F18" i="1" s="1"/>
  <c r="C20" i="1"/>
  <c r="C16" i="1"/>
  <c r="C18" i="1" s="1"/>
  <c r="D20" i="1"/>
  <c r="D16" i="1"/>
  <c r="D18" i="1" s="1"/>
  <c r="P20" i="1"/>
  <c r="P16" i="1"/>
  <c r="P18" i="1" s="1"/>
  <c r="L20" i="1"/>
  <c r="L16" i="1"/>
  <c r="L18" i="1" s="1"/>
  <c r="N20" i="1"/>
  <c r="N16" i="1"/>
  <c r="N18" i="1" s="1"/>
  <c r="E20" i="1"/>
  <c r="E16" i="1"/>
  <c r="E18" i="1" s="1"/>
  <c r="G20" i="1"/>
  <c r="G16" i="1"/>
  <c r="G18" i="1" s="1"/>
  <c r="O17" i="1"/>
  <c r="T20" i="1"/>
  <c r="T16" i="1"/>
  <c r="T18" i="1" s="1"/>
  <c r="K20" i="1"/>
  <c r="K16" i="1"/>
  <c r="K18" i="1" s="1"/>
  <c r="B2" i="4" a="1"/>
  <c r="B17" i="1"/>
  <c r="S18" i="1" l="1"/>
  <c r="S17" i="1"/>
  <c r="R18" i="1"/>
  <c r="R17" i="1"/>
  <c r="D17" i="1"/>
  <c r="G17" i="1"/>
  <c r="V17" i="1"/>
  <c r="U17" i="1"/>
  <c r="I17" i="1"/>
  <c r="C17" i="1"/>
  <c r="F17" i="1"/>
  <c r="M17" i="1"/>
  <c r="C11" i="4"/>
  <c r="C12" i="4"/>
  <c r="C15" i="4"/>
  <c r="C9" i="4"/>
  <c r="C10" i="4"/>
  <c r="C13" i="4"/>
  <c r="C14" i="4"/>
  <c r="C16" i="4"/>
  <c r="C17" i="4"/>
  <c r="C8" i="4"/>
  <c r="C6" i="4"/>
  <c r="C18" i="4"/>
  <c r="C3" i="4"/>
  <c r="C19" i="4"/>
  <c r="C20" i="4"/>
  <c r="C5" i="4"/>
  <c r="C22" i="4"/>
  <c r="C4" i="4"/>
  <c r="C21" i="4"/>
  <c r="C7" i="4"/>
  <c r="D15" i="4"/>
  <c r="D6" i="4"/>
  <c r="D14" i="4"/>
  <c r="D11" i="4"/>
  <c r="D17" i="4"/>
  <c r="D9" i="4"/>
  <c r="D4" i="4"/>
  <c r="D22" i="4"/>
  <c r="D16" i="4"/>
  <c r="D5" i="4"/>
  <c r="D19" i="4"/>
  <c r="D3" i="4"/>
  <c r="D18" i="4"/>
  <c r="D13" i="4"/>
  <c r="D10" i="4"/>
  <c r="D20" i="4"/>
  <c r="D8" i="4"/>
  <c r="D7" i="4"/>
  <c r="D21" i="4"/>
  <c r="D12" i="4"/>
  <c r="L17" i="1"/>
  <c r="Q17" i="1"/>
  <c r="H17" i="1"/>
  <c r="E17" i="1"/>
  <c r="N17" i="1"/>
  <c r="K17" i="1"/>
  <c r="J17" i="1"/>
  <c r="T17" i="1"/>
  <c r="P17" i="1"/>
  <c r="G11" i="4" l="1"/>
  <c r="C11" i="5" s="1"/>
  <c r="G12" i="4"/>
  <c r="C12" i="5" s="1"/>
  <c r="G15" i="4"/>
  <c r="C15" i="5" s="1"/>
  <c r="G9" i="4"/>
  <c r="C9" i="5" s="1"/>
  <c r="G10" i="4"/>
  <c r="C10" i="5" s="1"/>
  <c r="G13" i="4"/>
  <c r="C13" i="5" s="1"/>
  <c r="G14" i="4"/>
  <c r="C14" i="5" s="1"/>
  <c r="G16" i="4"/>
  <c r="C16" i="5" s="1"/>
  <c r="G17" i="4"/>
  <c r="C17" i="5" s="1"/>
  <c r="G8" i="4"/>
  <c r="C8" i="5" s="1"/>
  <c r="G6" i="4"/>
  <c r="C6" i="5" s="1"/>
  <c r="G18" i="4"/>
  <c r="C18" i="5" s="1"/>
  <c r="G3" i="4"/>
  <c r="C3" i="5" s="1"/>
  <c r="G19" i="4"/>
  <c r="G20" i="4"/>
  <c r="G5" i="4"/>
  <c r="C5" i="5" s="1"/>
  <c r="G22" i="4"/>
  <c r="G4" i="4"/>
  <c r="C4" i="5" s="1"/>
  <c r="G21" i="4"/>
  <c r="G7" i="4"/>
  <c r="C7" i="5" s="1"/>
  <c r="E19" i="4"/>
  <c r="E16" i="4"/>
  <c r="E9" i="4"/>
  <c r="E17" i="4"/>
  <c r="E4" i="4"/>
  <c r="E12" i="4"/>
  <c r="E11" i="4"/>
  <c r="D2" i="4"/>
  <c r="C2" i="4"/>
  <c r="E7" i="4"/>
  <c r="E6" i="4"/>
  <c r="E3" i="4"/>
  <c r="E22" i="4"/>
  <c r="E21" i="4"/>
  <c r="E14" i="4"/>
  <c r="E10" i="4"/>
  <c r="E5" i="4"/>
  <c r="E8" i="4"/>
  <c r="E15" i="4"/>
  <c r="E13" i="4"/>
  <c r="E20" i="4"/>
  <c r="E18" i="4"/>
  <c r="F19" i="4" l="1"/>
  <c r="H19" i="4" s="1"/>
  <c r="F16" i="4"/>
  <c r="B16" i="5" s="1"/>
  <c r="F9" i="4"/>
  <c r="B9" i="5" s="1"/>
  <c r="F17" i="4"/>
  <c r="B17" i="5" s="1"/>
  <c r="F4" i="4"/>
  <c r="B4" i="5" s="1"/>
  <c r="F12" i="4"/>
  <c r="B12" i="5" s="1"/>
  <c r="F11" i="4"/>
  <c r="B11" i="5" s="1"/>
  <c r="F7" i="4"/>
  <c r="F6" i="4"/>
  <c r="B6" i="5" s="1"/>
  <c r="F3" i="4"/>
  <c r="F22" i="4"/>
  <c r="F21" i="4"/>
  <c r="H21" i="4" s="1"/>
  <c r="F14" i="4"/>
  <c r="B14" i="5" s="1"/>
  <c r="F10" i="4"/>
  <c r="B10" i="5" s="1"/>
  <c r="F5" i="4"/>
  <c r="B5" i="5" s="1"/>
  <c r="F8" i="4"/>
  <c r="B8" i="5" s="1"/>
  <c r="F15" i="4"/>
  <c r="B15" i="5" s="1"/>
  <c r="F13" i="4"/>
  <c r="B13" i="5" s="1"/>
  <c r="F20" i="4"/>
  <c r="F18" i="4"/>
  <c r="B18" i="5" s="1"/>
  <c r="G2" i="4"/>
  <c r="C2" i="5" s="1"/>
  <c r="E2" i="4"/>
  <c r="H7" i="4" l="1"/>
  <c r="D7" i="5" s="1"/>
  <c r="B7" i="5"/>
  <c r="H3" i="4"/>
  <c r="D3" i="5" s="1"/>
  <c r="B3" i="5"/>
  <c r="H22" i="4"/>
  <c r="H16" i="4"/>
  <c r="D16" i="5" s="1"/>
  <c r="H9" i="4"/>
  <c r="D9" i="5" s="1"/>
  <c r="H17" i="4"/>
  <c r="D17" i="5" s="1"/>
  <c r="H4" i="4"/>
  <c r="D4" i="5" s="1"/>
  <c r="H11" i="4"/>
  <c r="D11" i="5" s="1"/>
  <c r="H6" i="4"/>
  <c r="D6" i="5" s="1"/>
  <c r="H14" i="4"/>
  <c r="D14" i="5" s="1"/>
  <c r="H18" i="4"/>
  <c r="D18" i="5" s="1"/>
  <c r="H12" i="4"/>
  <c r="D12" i="5" s="1"/>
  <c r="H10" i="4"/>
  <c r="D10" i="5" s="1"/>
  <c r="H5" i="4"/>
  <c r="D5" i="5" s="1"/>
  <c r="H8" i="4"/>
  <c r="D8" i="5" s="1"/>
  <c r="H15" i="4"/>
  <c r="D15" i="5" s="1"/>
  <c r="H13" i="4"/>
  <c r="D13" i="5" s="1"/>
  <c r="H20" i="4"/>
  <c r="F2" i="4"/>
  <c r="B2" i="5" s="1"/>
  <c r="I4" i="4" l="1"/>
  <c r="E4" i="5" s="1"/>
  <c r="I5" i="4"/>
  <c r="E5" i="5" s="1"/>
  <c r="I6" i="4"/>
  <c r="E6" i="5" s="1"/>
  <c r="I7" i="4"/>
  <c r="E7" i="5" s="1"/>
  <c r="I8" i="4"/>
  <c r="E8" i="5" s="1"/>
  <c r="I9" i="4"/>
  <c r="E9" i="5" s="1"/>
  <c r="I10" i="4"/>
  <c r="E10" i="5" s="1"/>
  <c r="I11" i="4"/>
  <c r="E11" i="5" s="1"/>
  <c r="I12" i="4"/>
  <c r="E12" i="5" s="1"/>
  <c r="I13" i="4"/>
  <c r="E13" i="5" s="1"/>
  <c r="I14" i="4"/>
  <c r="E14" i="5" s="1"/>
  <c r="I15" i="4"/>
  <c r="E15" i="5" s="1"/>
  <c r="I16" i="4"/>
  <c r="E16" i="5" s="1"/>
  <c r="I17" i="4"/>
  <c r="E17" i="5" s="1"/>
  <c r="I18" i="4"/>
  <c r="E18" i="5" s="1"/>
  <c r="I19" i="4"/>
  <c r="I20" i="4"/>
  <c r="I21" i="4"/>
  <c r="I22" i="4"/>
  <c r="I2" i="4"/>
  <c r="E2" i="5" s="1"/>
  <c r="I3" i="4"/>
  <c r="E3" i="5" s="1"/>
  <c r="H2" i="4"/>
  <c r="D2" i="5" s="1"/>
  <c r="J3" i="4" l="1"/>
  <c r="F3" i="5" s="1"/>
  <c r="J7" i="4"/>
  <c r="F7" i="5" s="1"/>
  <c r="J18" i="4"/>
  <c r="F18" i="5" s="1"/>
  <c r="J11" i="4"/>
  <c r="F11" i="5" s="1"/>
  <c r="J12" i="4"/>
  <c r="F12" i="5" s="1"/>
  <c r="J13" i="4"/>
  <c r="F13" i="5" s="1"/>
  <c r="J14" i="4"/>
  <c r="F14" i="5" s="1"/>
  <c r="J20" i="4"/>
  <c r="J21" i="4"/>
  <c r="J22" i="4"/>
  <c r="J19" i="4"/>
  <c r="J4" i="4"/>
  <c r="F4" i="5" s="1"/>
  <c r="J8" i="4"/>
  <c r="F8" i="5" s="1"/>
  <c r="J16" i="4"/>
  <c r="F16" i="5" s="1"/>
  <c r="J2" i="4"/>
  <c r="F2" i="5" s="1"/>
  <c r="J5" i="4"/>
  <c r="F5" i="5" s="1"/>
  <c r="J15" i="4"/>
  <c r="F15" i="5" s="1"/>
  <c r="J6" i="4"/>
  <c r="F6" i="5" s="1"/>
  <c r="J9" i="4"/>
  <c r="F9" i="5" s="1"/>
  <c r="J10" i="4"/>
  <c r="F10" i="5" s="1"/>
  <c r="J17" i="4"/>
  <c r="F1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<sst xmlns="http://schemas.openxmlformats.org/spreadsheetml/2006/main" count="54" uniqueCount="47">
  <si>
    <t>Installed solar panel area in %</t>
  </si>
  <si>
    <t>Installed solar panel area in  (m2)</t>
  </si>
  <si>
    <t>Location</t>
  </si>
  <si>
    <t>Jodhpur</t>
  </si>
  <si>
    <r>
      <rPr>
        <b/>
        <sz val="14"/>
        <color theme="1"/>
        <rFont val="Aptos Narrow"/>
        <family val="2"/>
        <scheme val="minor"/>
      </rPr>
      <t>Source</t>
    </r>
    <r>
      <rPr>
        <sz val="14"/>
        <color theme="1"/>
        <rFont val="Aptos Narrow"/>
        <family val="2"/>
        <scheme val="minor"/>
      </rPr>
      <t xml:space="preserve"> : Comparison of floating photovoltaic plant with solar photovoltaic plant for energy generation at Jodhpur in India</t>
    </r>
  </si>
  <si>
    <t>Average solar radiation in MWh/m2</t>
  </si>
  <si>
    <r>
      <rPr>
        <b/>
        <sz val="14"/>
        <color theme="1"/>
        <rFont val="Aptos Narrow"/>
        <family val="2"/>
        <scheme val="minor"/>
      </rPr>
      <t>Source</t>
    </r>
    <r>
      <rPr>
        <sz val="14"/>
        <color theme="1"/>
        <rFont val="Aptos Narrow"/>
        <family val="2"/>
        <scheme val="minor"/>
      </rPr>
      <t xml:space="preserve"> : https://www.tatapower.com/blogs/the-best-solar-panel-size-guide-every-homeowner-needs</t>
    </r>
  </si>
  <si>
    <t>Roof top Module area (m square)</t>
  </si>
  <si>
    <t>Spacing Factor (%)</t>
  </si>
  <si>
    <t>Modules cannot be placed edge-to-edge because:
Tilt angle required
Row spacing to avoid shading
Maintenance walkway
Mounting structure clearance</t>
  </si>
  <si>
    <t>No of modules</t>
  </si>
  <si>
    <t>Total Roof Surface Area (m2)</t>
  </si>
  <si>
    <t>Description/References</t>
  </si>
  <si>
    <t>Grid connected solar panel C-Si W Module (W)</t>
  </si>
  <si>
    <t>Total Installed Capacity (kW)</t>
  </si>
  <si>
    <t>Total Solar Energy Received (MWh/year)</t>
  </si>
  <si>
    <t>Module efficiency (%)</t>
  </si>
  <si>
    <t>Monocrystalline silicon (m-Si) rooftop solar systems</t>
  </si>
  <si>
    <t>Source : Life Cycle Assessment of Solar Photovoltaic in India: A
Circular Economy Approach</t>
  </si>
  <si>
    <t xml:space="preserve"> </t>
  </si>
  <si>
    <t>Life span of solar panel (Years)</t>
  </si>
  <si>
    <t>Overall_Annual_Building energy_demand (kWH)</t>
  </si>
  <si>
    <t>Roof top area  (%)</t>
  </si>
  <si>
    <t>Total GHG emission (kgCO2)/life span</t>
  </si>
  <si>
    <t>Total GHG emission (kgCO2) for entire life span</t>
  </si>
  <si>
    <t>Total GHG emission (kgCO2) for first time installment</t>
  </si>
  <si>
    <t>% solar energy contribution</t>
  </si>
  <si>
    <t>(kg CO2-Eq)</t>
  </si>
  <si>
    <t xml:space="preserve">Material Production Impact_lifetime </t>
  </si>
  <si>
    <t>Construction Impact_lifetime</t>
  </si>
  <si>
    <t>End of life Impact_lifetime</t>
  </si>
  <si>
    <t>GHG emission rate (kgCO2/kWh)_Solarcell</t>
  </si>
  <si>
    <t>Solarcell_impact</t>
  </si>
  <si>
    <t>Conventionally_energy_Impact</t>
  </si>
  <si>
    <t>Required Annual Conventionally energy demand (kWh/year)</t>
  </si>
  <si>
    <t>Embodied solar impact (kgCO2)/life span</t>
  </si>
  <si>
    <t>Number of replacement</t>
  </si>
  <si>
    <t>Operational Energy impact (kg CO2-Eq)_Annual</t>
  </si>
  <si>
    <t>Water demand+diesel_lifetime</t>
  </si>
  <si>
    <t>Generated Solar Energy (kWh)</t>
  </si>
  <si>
    <t>Annual Solar Energy generation (kWh)</t>
  </si>
  <si>
    <t>(kgCO2/kWh)_OPC_common steel</t>
  </si>
  <si>
    <t>Operational Energy Impact (kg CO2-Eq)</t>
  </si>
  <si>
    <t>Embodied Impact(kg CO2-Eq)</t>
  </si>
  <si>
    <t>Life Cycle Impact (kg CO2-Eq)</t>
  </si>
  <si>
    <t>Operational Impact Reduction  (%)</t>
  </si>
  <si>
    <t>Life Cycle Impact Reduction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</si>
</sst>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Calibri"/>
      <family val="2"/>
    </font>
    <font>
      <sz val="16"/>
      <color theme="1"/>
      <name val="Aptos Narrow"/>
      <family val="2"/>
      <scheme val="minor"/>
    </font>
    <font>
      <sz val="18"/>
      <color rgb="FF002060"/>
      <name val="Aptos Narrow"/>
      <family val="2"/>
      <scheme val="minor"/>
    </font>
    <font>
      <b/>
      <sz val="14"/>
      <color rgb="FF333333"/>
      <name val="Georgia"/>
      <family val="1"/>
    </font>
    <font>
      <b/>
      <sz val="16"/>
      <color theme="3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  <font>
      <b/>
      <sz val="16"/>
      <color theme="3" tint="9.9978637043366805E-2"/>
      <name val="Arial"/>
      <family val="2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1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12" fillId="0" borderId="0" xfId="0" applyFont="1" applyAlignment="1">
      <alignment wrapText="1"/>
    </xf>
    <xf numFmtId="0" fontId="0" fillId="5" borderId="0" xfId="0" applyFill="1"/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mbodied%20impact%20calculation%20for%20different%20materials/LCA_Sheet.xlsm" TargetMode="External"/><Relationship Id="rId2" Type="http://schemas.openxmlformats.org/officeDocument/2006/relationships/externalLinkPath" Target="file:///C:\Users\ACER\Desktop\Nasir\Sensitivity%20analysis\Embodied%20impact%20calculation%20for%20different%20materials\LCA_Sheet.xlsm" TargetMode="External"/><Relationship Id="rId1" Type="http://schemas.openxmlformats.org/officeDocument/2006/relationships/externalLinkPath" Target="/Users/ACER/Desktop/Nasir/Sensitivity%20analysis/Embodied%20impact%20calculation%20for%20different%20materials/LCA_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ers_name"/>
      <sheetName val="Component Volume"/>
      <sheetName val="Material_Inventory"/>
      <sheetName val="Material Production"/>
      <sheetName val="Construction Phase"/>
      <sheetName val="Operational Phase"/>
      <sheetName val="Demolition Phase"/>
      <sheetName val="Life Cycle Phase"/>
      <sheetName val="Component Impact"/>
      <sheetName val="Material Impacts"/>
      <sheetName val="Life cycle impact"/>
      <sheetName val="Embodied material impact"/>
    </sheetNames>
    <sheetDataSet>
      <sheetData sheetId="0"/>
      <sheetData sheetId="1"/>
      <sheetData sheetId="2"/>
      <sheetData sheetId="3"/>
      <sheetData sheetId="4"/>
      <sheetData sheetId="5">
        <row r="7">
          <cell r="N7">
            <v>529889.69337909925</v>
          </cell>
        </row>
      </sheetData>
      <sheetData sheetId="6"/>
      <sheetData sheetId="7">
        <row r="6">
          <cell r="G6">
            <v>308473.90020924661</v>
          </cell>
          <cell r="I6">
            <v>300504.43245110312</v>
          </cell>
        </row>
      </sheetData>
      <sheetData sheetId="8"/>
      <sheetData sheetId="9"/>
      <sheetData sheetId="10">
        <row r="2">
          <cell r="B2">
            <v>1793947.6129864336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DA89-60CA-4F1E-8ABC-1CCFCE49449A}">
  <sheetPr codeName="Sheet1"/>
  <dimension ref="A1:AB31"/>
  <sheetViews>
    <sheetView topLeftCell="A10" zoomScale="80" zoomScaleNormal="80" workbookViewId="0">
      <selection activeCell="E30" sqref="E30"/>
    </sheetView>
  </sheetViews>
  <sheetFormatPr defaultRowHeight="15" x14ac:dyDescent="0.25"/>
  <cols>
    <col min="1" max="1" width="56" customWidth="1"/>
    <col min="2" max="2" width="15.7109375" customWidth="1"/>
    <col min="3" max="3" width="15.5703125" customWidth="1"/>
    <col min="4" max="4" width="13.7109375" customWidth="1"/>
    <col min="5" max="5" width="14.42578125" customWidth="1"/>
    <col min="6" max="6" width="14.85546875" customWidth="1"/>
    <col min="7" max="7" width="15.7109375" customWidth="1"/>
    <col min="8" max="8" width="14" customWidth="1"/>
    <col min="9" max="9" width="12.7109375" bestFit="1" customWidth="1"/>
    <col min="10" max="10" width="16" customWidth="1"/>
    <col min="11" max="11" width="12.7109375" bestFit="1" customWidth="1"/>
    <col min="12" max="12" width="15.140625" customWidth="1"/>
    <col min="13" max="13" width="15.7109375" customWidth="1"/>
    <col min="14" max="14" width="15.5703125" customWidth="1"/>
    <col min="15" max="15" width="17" customWidth="1"/>
    <col min="16" max="16" width="16" customWidth="1"/>
    <col min="17" max="17" width="12.7109375" customWidth="1"/>
    <col min="18" max="18" width="12.7109375" bestFit="1" customWidth="1"/>
    <col min="19" max="19" width="12.7109375" customWidth="1"/>
    <col min="20" max="20" width="14.85546875" customWidth="1"/>
    <col min="21" max="21" width="12.7109375" customWidth="1"/>
    <col min="22" max="22" width="12.42578125" customWidth="1"/>
    <col min="23" max="23" width="18" customWidth="1"/>
    <col min="25" max="25" width="11.42578125" customWidth="1"/>
    <col min="26" max="26" width="26.7109375" customWidth="1"/>
    <col min="27" max="27" width="17.7109375" customWidth="1"/>
  </cols>
  <sheetData>
    <row r="1" spans="1:28" ht="42.75" customHeight="1" x14ac:dyDescent="0.4">
      <c r="A1" s="15" t="s">
        <v>2</v>
      </c>
      <c r="B1" s="15" t="s">
        <v>3</v>
      </c>
      <c r="C1" s="15"/>
      <c r="D1" s="15"/>
      <c r="E1" s="16" t="s">
        <v>17</v>
      </c>
      <c r="F1" s="15"/>
      <c r="G1" s="15"/>
      <c r="H1" s="15"/>
      <c r="I1" s="1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13" t="s">
        <v>12</v>
      </c>
      <c r="X1" s="9"/>
      <c r="Y1" s="9"/>
      <c r="Z1" s="9"/>
      <c r="AB1" s="2"/>
    </row>
    <row r="2" spans="1:28" ht="33" customHeight="1" x14ac:dyDescent="0.4">
      <c r="A2" s="5" t="s">
        <v>11</v>
      </c>
      <c r="B2" s="11">
        <v>950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"/>
      <c r="X2" s="9"/>
      <c r="Y2" s="9"/>
      <c r="Z2" s="9"/>
      <c r="AB2" s="2"/>
    </row>
    <row r="3" spans="1:28" ht="33" customHeight="1" x14ac:dyDescent="0.4">
      <c r="A3" s="5" t="s">
        <v>0</v>
      </c>
      <c r="B3" s="11">
        <v>0</v>
      </c>
      <c r="C3" s="5">
        <v>0.05</v>
      </c>
      <c r="D3" s="5">
        <v>0.1</v>
      </c>
      <c r="E3" s="5">
        <v>0.15</v>
      </c>
      <c r="F3" s="5">
        <v>0.2</v>
      </c>
      <c r="G3" s="5">
        <v>0.25</v>
      </c>
      <c r="H3" s="5">
        <v>0.3</v>
      </c>
      <c r="I3" s="5">
        <v>0.35</v>
      </c>
      <c r="J3" s="5">
        <v>0.4</v>
      </c>
      <c r="K3" s="5">
        <v>0.45</v>
      </c>
      <c r="L3" s="5">
        <v>0.5</v>
      </c>
      <c r="M3" s="5">
        <v>0.55000000000000004</v>
      </c>
      <c r="N3" s="5">
        <v>0.6</v>
      </c>
      <c r="O3" s="5">
        <v>0.65</v>
      </c>
      <c r="P3" s="5">
        <v>0.7</v>
      </c>
      <c r="Q3" s="5">
        <v>0.75</v>
      </c>
      <c r="R3" s="5">
        <v>0.8</v>
      </c>
      <c r="S3" s="5">
        <v>0.85</v>
      </c>
      <c r="T3" s="5">
        <v>0.9</v>
      </c>
      <c r="U3" s="5">
        <v>0.95</v>
      </c>
      <c r="V3" s="5">
        <v>1</v>
      </c>
      <c r="W3" s="1"/>
      <c r="X3" s="9"/>
      <c r="Y3" s="9"/>
      <c r="Z3" s="9"/>
      <c r="AB3" s="2"/>
    </row>
    <row r="4" spans="1:28" ht="33" customHeight="1" x14ac:dyDescent="0.4">
      <c r="A4" s="5" t="s">
        <v>1</v>
      </c>
      <c r="B4" s="11">
        <f>B3*$B$2</f>
        <v>0</v>
      </c>
      <c r="C4" s="11">
        <f t="shared" ref="C4:V4" si="0">C3*$B$2</f>
        <v>47.5</v>
      </c>
      <c r="D4" s="11">
        <f t="shared" si="0"/>
        <v>95</v>
      </c>
      <c r="E4" s="11">
        <f t="shared" si="0"/>
        <v>142.5</v>
      </c>
      <c r="F4" s="11">
        <f t="shared" si="0"/>
        <v>190</v>
      </c>
      <c r="G4" s="11">
        <f t="shared" si="0"/>
        <v>237.5</v>
      </c>
      <c r="H4" s="11">
        <f t="shared" si="0"/>
        <v>285</v>
      </c>
      <c r="I4" s="11">
        <f t="shared" si="0"/>
        <v>332.5</v>
      </c>
      <c r="J4" s="11">
        <f t="shared" si="0"/>
        <v>380</v>
      </c>
      <c r="K4" s="11">
        <f t="shared" si="0"/>
        <v>427.5</v>
      </c>
      <c r="L4" s="11">
        <f t="shared" si="0"/>
        <v>475</v>
      </c>
      <c r="M4" s="11">
        <f t="shared" si="0"/>
        <v>522.5</v>
      </c>
      <c r="N4" s="11">
        <f t="shared" si="0"/>
        <v>570</v>
      </c>
      <c r="O4" s="11">
        <f t="shared" si="0"/>
        <v>617.5</v>
      </c>
      <c r="P4" s="11">
        <f t="shared" si="0"/>
        <v>665</v>
      </c>
      <c r="Q4" s="11">
        <f t="shared" si="0"/>
        <v>712.5</v>
      </c>
      <c r="R4" s="11">
        <f t="shared" si="0"/>
        <v>760</v>
      </c>
      <c r="S4" s="11">
        <f t="shared" si="0"/>
        <v>807.5</v>
      </c>
      <c r="T4" s="11">
        <f t="shared" si="0"/>
        <v>855</v>
      </c>
      <c r="U4" s="11">
        <f t="shared" si="0"/>
        <v>902.5</v>
      </c>
      <c r="V4" s="11">
        <f t="shared" si="0"/>
        <v>950</v>
      </c>
      <c r="W4" s="11"/>
      <c r="X4" s="9"/>
      <c r="Y4" s="9"/>
      <c r="Z4" s="9"/>
      <c r="AB4" s="2"/>
    </row>
    <row r="5" spans="1:28" ht="33" customHeight="1" x14ac:dyDescent="0.3">
      <c r="A5" s="5" t="s">
        <v>5</v>
      </c>
      <c r="B5" s="12">
        <v>1.98</v>
      </c>
      <c r="C5" s="1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2" t="s">
        <v>4</v>
      </c>
      <c r="Y5" s="3"/>
      <c r="Z5" s="3"/>
      <c r="AA5" s="3"/>
    </row>
    <row r="6" spans="1:28" ht="33" customHeight="1" x14ac:dyDescent="0.3">
      <c r="A6" s="5" t="s">
        <v>7</v>
      </c>
      <c r="B6" s="12">
        <v>1.7</v>
      </c>
      <c r="C6" s="1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2" t="s">
        <v>6</v>
      </c>
      <c r="Y6" s="3"/>
      <c r="Z6" s="3"/>
      <c r="AA6" s="3"/>
    </row>
    <row r="7" spans="1:28" ht="33" customHeight="1" x14ac:dyDescent="0.3">
      <c r="A7" s="5" t="s">
        <v>20</v>
      </c>
      <c r="B7" s="12">
        <v>15</v>
      </c>
      <c r="C7" s="1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2"/>
      <c r="Y7" s="3"/>
      <c r="Z7" s="3"/>
      <c r="AA7" s="3"/>
    </row>
    <row r="8" spans="1:28" ht="33" customHeight="1" x14ac:dyDescent="0.3">
      <c r="A8" s="5" t="s">
        <v>13</v>
      </c>
      <c r="B8" s="11">
        <v>250</v>
      </c>
      <c r="C8" s="1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2" t="s">
        <v>9</v>
      </c>
      <c r="Y8" s="8"/>
      <c r="Z8" s="7"/>
      <c r="AA8" s="4"/>
    </row>
    <row r="9" spans="1:28" ht="33" customHeight="1" x14ac:dyDescent="0.3">
      <c r="A9" s="5" t="s">
        <v>8</v>
      </c>
      <c r="B9" s="11">
        <v>0.8</v>
      </c>
      <c r="C9" s="1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"/>
      <c r="Y9" s="8"/>
      <c r="Z9" s="7"/>
      <c r="AA9" s="4"/>
    </row>
    <row r="10" spans="1:28" ht="33" customHeight="1" x14ac:dyDescent="0.3">
      <c r="A10" s="5" t="s">
        <v>10</v>
      </c>
      <c r="B10" s="11">
        <f>ROUNDDOWN(B4*$B$9/($B$6),0)</f>
        <v>0</v>
      </c>
      <c r="C10" s="11">
        <f t="shared" ref="C10:V10" si="1">ROUNDDOWN(C4*$B$9/($B$6),0)</f>
        <v>22</v>
      </c>
      <c r="D10" s="11">
        <f t="shared" si="1"/>
        <v>44</v>
      </c>
      <c r="E10" s="11">
        <f t="shared" si="1"/>
        <v>67</v>
      </c>
      <c r="F10" s="11">
        <f t="shared" si="1"/>
        <v>89</v>
      </c>
      <c r="G10" s="11">
        <f t="shared" si="1"/>
        <v>111</v>
      </c>
      <c r="H10" s="11">
        <f t="shared" si="1"/>
        <v>134</v>
      </c>
      <c r="I10" s="11">
        <f t="shared" si="1"/>
        <v>156</v>
      </c>
      <c r="J10" s="11">
        <f t="shared" si="1"/>
        <v>178</v>
      </c>
      <c r="K10" s="11">
        <f t="shared" si="1"/>
        <v>201</v>
      </c>
      <c r="L10" s="11">
        <f t="shared" si="1"/>
        <v>223</v>
      </c>
      <c r="M10" s="11">
        <f t="shared" si="1"/>
        <v>245</v>
      </c>
      <c r="N10" s="11">
        <f t="shared" si="1"/>
        <v>268</v>
      </c>
      <c r="O10" s="11">
        <f t="shared" si="1"/>
        <v>290</v>
      </c>
      <c r="P10" s="11">
        <f t="shared" si="1"/>
        <v>312</v>
      </c>
      <c r="Q10" s="11">
        <f t="shared" si="1"/>
        <v>335</v>
      </c>
      <c r="R10" s="11">
        <f t="shared" si="1"/>
        <v>357</v>
      </c>
      <c r="S10" s="11">
        <f t="shared" si="1"/>
        <v>380</v>
      </c>
      <c r="T10" s="11">
        <f t="shared" si="1"/>
        <v>402</v>
      </c>
      <c r="U10" s="11">
        <f t="shared" si="1"/>
        <v>424</v>
      </c>
      <c r="V10" s="11">
        <f t="shared" si="1"/>
        <v>447</v>
      </c>
      <c r="W10" s="10"/>
      <c r="Y10" s="8"/>
      <c r="Z10" s="7"/>
      <c r="AA10" s="4"/>
    </row>
    <row r="11" spans="1:28" ht="33" customHeight="1" x14ac:dyDescent="0.3">
      <c r="A11" s="5" t="s">
        <v>14</v>
      </c>
      <c r="B11" s="11">
        <f>(B10*$B$8)/1000</f>
        <v>0</v>
      </c>
      <c r="C11" s="11">
        <f t="shared" ref="C11:V11" si="2">(C10*$B$8)/1000</f>
        <v>5.5</v>
      </c>
      <c r="D11" s="11">
        <f t="shared" si="2"/>
        <v>11</v>
      </c>
      <c r="E11" s="11">
        <f t="shared" si="2"/>
        <v>16.75</v>
      </c>
      <c r="F11" s="11">
        <f t="shared" si="2"/>
        <v>22.25</v>
      </c>
      <c r="G11" s="11">
        <f t="shared" si="2"/>
        <v>27.75</v>
      </c>
      <c r="H11" s="11">
        <f t="shared" si="2"/>
        <v>33.5</v>
      </c>
      <c r="I11" s="11">
        <f t="shared" si="2"/>
        <v>39</v>
      </c>
      <c r="J11" s="11">
        <f t="shared" si="2"/>
        <v>44.5</v>
      </c>
      <c r="K11" s="11">
        <f t="shared" si="2"/>
        <v>50.25</v>
      </c>
      <c r="L11" s="11">
        <f t="shared" si="2"/>
        <v>55.75</v>
      </c>
      <c r="M11" s="11">
        <f t="shared" si="2"/>
        <v>61.25</v>
      </c>
      <c r="N11" s="11">
        <f t="shared" si="2"/>
        <v>67</v>
      </c>
      <c r="O11" s="11">
        <f t="shared" si="2"/>
        <v>72.5</v>
      </c>
      <c r="P11" s="11">
        <f t="shared" si="2"/>
        <v>78</v>
      </c>
      <c r="Q11" s="11">
        <f t="shared" si="2"/>
        <v>83.75</v>
      </c>
      <c r="R11" s="11">
        <f t="shared" si="2"/>
        <v>89.25</v>
      </c>
      <c r="S11" s="11">
        <f t="shared" si="2"/>
        <v>95</v>
      </c>
      <c r="T11" s="11">
        <f t="shared" si="2"/>
        <v>100.5</v>
      </c>
      <c r="U11" s="11">
        <f t="shared" si="2"/>
        <v>106</v>
      </c>
      <c r="V11" s="11">
        <f t="shared" si="2"/>
        <v>111.75</v>
      </c>
      <c r="W11" s="1"/>
      <c r="Y11" s="8"/>
      <c r="Z11" s="7"/>
      <c r="AA11" s="4"/>
    </row>
    <row r="12" spans="1:28" ht="33" customHeight="1" x14ac:dyDescent="0.3">
      <c r="A12" s="5" t="s">
        <v>15</v>
      </c>
      <c r="B12" s="11">
        <f>$B$5*B10*$B$6</f>
        <v>0</v>
      </c>
      <c r="C12" s="11">
        <f t="shared" ref="C12:V12" si="3">$B$5*C10*$B$6</f>
        <v>74.052000000000007</v>
      </c>
      <c r="D12" s="11">
        <f t="shared" si="3"/>
        <v>148.10400000000001</v>
      </c>
      <c r="E12" s="11">
        <f t="shared" si="3"/>
        <v>225.52199999999999</v>
      </c>
      <c r="F12" s="11">
        <f t="shared" si="3"/>
        <v>299.57400000000001</v>
      </c>
      <c r="G12" s="11">
        <f t="shared" si="3"/>
        <v>373.62599999999998</v>
      </c>
      <c r="H12" s="11">
        <f t="shared" si="3"/>
        <v>451.04399999999998</v>
      </c>
      <c r="I12" s="11">
        <f t="shared" si="3"/>
        <v>525.096</v>
      </c>
      <c r="J12" s="11">
        <f t="shared" si="3"/>
        <v>599.14800000000002</v>
      </c>
      <c r="K12" s="11">
        <f t="shared" si="3"/>
        <v>676.56600000000003</v>
      </c>
      <c r="L12" s="11">
        <f t="shared" si="3"/>
        <v>750.61800000000005</v>
      </c>
      <c r="M12" s="11">
        <f t="shared" si="3"/>
        <v>824.67000000000007</v>
      </c>
      <c r="N12" s="11">
        <f t="shared" si="3"/>
        <v>902.08799999999997</v>
      </c>
      <c r="O12" s="11">
        <f t="shared" si="3"/>
        <v>976.1400000000001</v>
      </c>
      <c r="P12" s="11">
        <f t="shared" si="3"/>
        <v>1050.192</v>
      </c>
      <c r="Q12" s="11">
        <f t="shared" si="3"/>
        <v>1127.6099999999999</v>
      </c>
      <c r="R12" s="11">
        <f t="shared" si="3"/>
        <v>1201.662</v>
      </c>
      <c r="S12" s="11">
        <f t="shared" si="3"/>
        <v>1279.08</v>
      </c>
      <c r="T12" s="11">
        <f t="shared" si="3"/>
        <v>1353.1320000000001</v>
      </c>
      <c r="U12" s="11">
        <f t="shared" si="3"/>
        <v>1427.184</v>
      </c>
      <c r="V12" s="11">
        <f t="shared" si="3"/>
        <v>1504.6019999999999</v>
      </c>
      <c r="W12" s="1" t="s">
        <v>19</v>
      </c>
      <c r="Y12" s="8"/>
      <c r="Z12" s="7"/>
      <c r="AA12" s="4"/>
    </row>
    <row r="13" spans="1:28" ht="32.25" customHeight="1" x14ac:dyDescent="0.3">
      <c r="A13" s="5" t="s">
        <v>16</v>
      </c>
      <c r="B13" s="11">
        <f>B8/(1000*B6)</f>
        <v>0.14705882352941177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1"/>
      <c r="Y13" s="8"/>
      <c r="Z13" s="7"/>
      <c r="AA13" s="4"/>
    </row>
    <row r="14" spans="1:28" ht="28.5" customHeight="1" x14ac:dyDescent="0.3">
      <c r="A14" s="14" t="s">
        <v>39</v>
      </c>
      <c r="B14" s="18">
        <f>B12*$B$13*1000</f>
        <v>0</v>
      </c>
      <c r="C14" s="18">
        <f t="shared" ref="C14:V14" si="4">C12*$B$13*1000</f>
        <v>10890</v>
      </c>
      <c r="D14" s="18">
        <f t="shared" si="4"/>
        <v>21780</v>
      </c>
      <c r="E14" s="18">
        <f t="shared" si="4"/>
        <v>33165</v>
      </c>
      <c r="F14" s="18">
        <f t="shared" si="4"/>
        <v>44055.000000000007</v>
      </c>
      <c r="G14" s="18">
        <f t="shared" si="4"/>
        <v>54945</v>
      </c>
      <c r="H14" s="18">
        <f t="shared" si="4"/>
        <v>66330</v>
      </c>
      <c r="I14" s="18">
        <f t="shared" si="4"/>
        <v>77220</v>
      </c>
      <c r="J14" s="18">
        <f t="shared" si="4"/>
        <v>88110.000000000015</v>
      </c>
      <c r="K14" s="18">
        <f t="shared" si="4"/>
        <v>99495</v>
      </c>
      <c r="L14" s="18">
        <f t="shared" si="4"/>
        <v>110385</v>
      </c>
      <c r="M14" s="18">
        <f t="shared" si="4"/>
        <v>121275.00000000001</v>
      </c>
      <c r="N14" s="18">
        <f t="shared" si="4"/>
        <v>132660</v>
      </c>
      <c r="O14" s="18">
        <f t="shared" si="4"/>
        <v>143550</v>
      </c>
      <c r="P14" s="18">
        <f t="shared" si="4"/>
        <v>154440</v>
      </c>
      <c r="Q14" s="18">
        <f t="shared" si="4"/>
        <v>165825</v>
      </c>
      <c r="R14" s="18">
        <f t="shared" si="4"/>
        <v>176715</v>
      </c>
      <c r="S14" s="18">
        <f t="shared" si="4"/>
        <v>188100</v>
      </c>
      <c r="T14" s="18">
        <f t="shared" si="4"/>
        <v>198990</v>
      </c>
      <c r="U14" s="18">
        <f t="shared" si="4"/>
        <v>209880</v>
      </c>
      <c r="V14" s="18">
        <f t="shared" si="4"/>
        <v>221265</v>
      </c>
      <c r="W14" s="1"/>
      <c r="Y14" s="8"/>
      <c r="Z14" s="7"/>
      <c r="AA14" s="4"/>
    </row>
    <row r="15" spans="1:28" ht="27.75" customHeight="1" x14ac:dyDescent="0.3">
      <c r="A15" s="5" t="s">
        <v>31</v>
      </c>
      <c r="B15" s="11">
        <v>0.25750000000000001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2" t="s">
        <v>18</v>
      </c>
      <c r="Y15" s="8"/>
      <c r="Z15" s="7"/>
      <c r="AA15" s="4"/>
    </row>
    <row r="16" spans="1:28" ht="34.5" customHeight="1" x14ac:dyDescent="0.3">
      <c r="A16" s="5" t="s">
        <v>23</v>
      </c>
      <c r="B16" s="11">
        <f>$B$15*B14</f>
        <v>0</v>
      </c>
      <c r="C16" s="11">
        <f t="shared" ref="C16:V16" si="5">$B$15*C14</f>
        <v>2804.1750000000002</v>
      </c>
      <c r="D16" s="11">
        <f t="shared" si="5"/>
        <v>5608.35</v>
      </c>
      <c r="E16" s="11">
        <f t="shared" si="5"/>
        <v>8539.9875000000011</v>
      </c>
      <c r="F16" s="11">
        <f t="shared" si="5"/>
        <v>11344.162500000002</v>
      </c>
      <c r="G16" s="11">
        <f t="shared" si="5"/>
        <v>14148.3375</v>
      </c>
      <c r="H16" s="11">
        <f t="shared" si="5"/>
        <v>17079.975000000002</v>
      </c>
      <c r="I16" s="11">
        <f t="shared" si="5"/>
        <v>19884.150000000001</v>
      </c>
      <c r="J16" s="11">
        <f t="shared" si="5"/>
        <v>22688.325000000004</v>
      </c>
      <c r="K16" s="11">
        <f t="shared" si="5"/>
        <v>25619.962500000001</v>
      </c>
      <c r="L16" s="11">
        <f t="shared" si="5"/>
        <v>28424.137500000001</v>
      </c>
      <c r="M16" s="11">
        <f t="shared" si="5"/>
        <v>31228.312500000004</v>
      </c>
      <c r="N16" s="11">
        <f t="shared" si="5"/>
        <v>34159.950000000004</v>
      </c>
      <c r="O16" s="11">
        <f t="shared" si="5"/>
        <v>36964.125</v>
      </c>
      <c r="P16" s="11">
        <f t="shared" si="5"/>
        <v>39768.300000000003</v>
      </c>
      <c r="Q16" s="11">
        <f t="shared" si="5"/>
        <v>42699.9375</v>
      </c>
      <c r="R16" s="11">
        <f t="shared" si="5"/>
        <v>45504.112500000003</v>
      </c>
      <c r="S16" s="11">
        <f t="shared" si="5"/>
        <v>48435.75</v>
      </c>
      <c r="T16" s="11">
        <f t="shared" si="5"/>
        <v>51239.925000000003</v>
      </c>
      <c r="U16" s="11">
        <f t="shared" si="5"/>
        <v>54044.1</v>
      </c>
      <c r="V16" s="11">
        <f t="shared" si="5"/>
        <v>56975.737500000003</v>
      </c>
      <c r="W16" s="1"/>
      <c r="Y16" s="8"/>
      <c r="Z16" s="7"/>
      <c r="AA16" s="4"/>
    </row>
    <row r="17" spans="1:27" ht="30.75" customHeight="1" x14ac:dyDescent="0.3">
      <c r="A17" s="5" t="s">
        <v>24</v>
      </c>
      <c r="B17" s="8">
        <f>(ROUNDUP(50/$B$7,0))*B16</f>
        <v>0</v>
      </c>
      <c r="C17" s="8">
        <f>(ROUNDUP(50/$B$7,0))*C16</f>
        <v>11216.7</v>
      </c>
      <c r="D17" s="8">
        <f t="shared" ref="D17:V17" si="6">(ROUNDUP(50/$B$7,0))*D16</f>
        <v>22433.4</v>
      </c>
      <c r="E17" s="8">
        <f t="shared" si="6"/>
        <v>34159.950000000004</v>
      </c>
      <c r="F17" s="8">
        <f t="shared" si="6"/>
        <v>45376.650000000009</v>
      </c>
      <c r="G17" s="8">
        <f t="shared" si="6"/>
        <v>56593.35</v>
      </c>
      <c r="H17" s="8">
        <f t="shared" si="6"/>
        <v>68319.900000000009</v>
      </c>
      <c r="I17" s="8">
        <f t="shared" si="6"/>
        <v>79536.600000000006</v>
      </c>
      <c r="J17" s="8">
        <f t="shared" si="6"/>
        <v>90753.300000000017</v>
      </c>
      <c r="K17" s="8">
        <f t="shared" si="6"/>
        <v>102479.85</v>
      </c>
      <c r="L17" s="8">
        <f t="shared" si="6"/>
        <v>113696.55</v>
      </c>
      <c r="M17" s="8">
        <f t="shared" si="6"/>
        <v>124913.25000000001</v>
      </c>
      <c r="N17" s="8">
        <f t="shared" si="6"/>
        <v>136639.80000000002</v>
      </c>
      <c r="O17" s="8">
        <f t="shared" si="6"/>
        <v>147856.5</v>
      </c>
      <c r="P17" s="8">
        <f t="shared" si="6"/>
        <v>159073.20000000001</v>
      </c>
      <c r="Q17" s="8">
        <f t="shared" si="6"/>
        <v>170799.75</v>
      </c>
      <c r="R17" s="8">
        <f t="shared" si="6"/>
        <v>182016.45</v>
      </c>
      <c r="S17" s="8">
        <f t="shared" si="6"/>
        <v>193743</v>
      </c>
      <c r="T17" s="8">
        <f t="shared" si="6"/>
        <v>204959.7</v>
      </c>
      <c r="U17" s="8">
        <f t="shared" si="6"/>
        <v>216176.4</v>
      </c>
      <c r="V17" s="8">
        <f t="shared" si="6"/>
        <v>227902.95</v>
      </c>
      <c r="Y17" s="8"/>
      <c r="Z17" s="7"/>
      <c r="AA17" s="4"/>
    </row>
    <row r="18" spans="1:27" ht="18.75" x14ac:dyDescent="0.3">
      <c r="A18" s="5" t="s">
        <v>25</v>
      </c>
      <c r="B18" s="8">
        <f>B16</f>
        <v>0</v>
      </c>
      <c r="C18" s="8">
        <f t="shared" ref="C18:V18" si="7">C16</f>
        <v>2804.1750000000002</v>
      </c>
      <c r="D18" s="8">
        <f t="shared" si="7"/>
        <v>5608.35</v>
      </c>
      <c r="E18" s="8">
        <f t="shared" si="7"/>
        <v>8539.9875000000011</v>
      </c>
      <c r="F18" s="8">
        <f t="shared" si="7"/>
        <v>11344.162500000002</v>
      </c>
      <c r="G18" s="8">
        <f t="shared" si="7"/>
        <v>14148.3375</v>
      </c>
      <c r="H18" s="8">
        <f t="shared" si="7"/>
        <v>17079.975000000002</v>
      </c>
      <c r="I18" s="8">
        <f t="shared" si="7"/>
        <v>19884.150000000001</v>
      </c>
      <c r="J18" s="8">
        <f t="shared" si="7"/>
        <v>22688.325000000004</v>
      </c>
      <c r="K18" s="8">
        <f t="shared" si="7"/>
        <v>25619.962500000001</v>
      </c>
      <c r="L18" s="8">
        <f t="shared" si="7"/>
        <v>28424.137500000001</v>
      </c>
      <c r="M18" s="8">
        <f t="shared" si="7"/>
        <v>31228.312500000004</v>
      </c>
      <c r="N18" s="8">
        <f t="shared" si="7"/>
        <v>34159.950000000004</v>
      </c>
      <c r="O18" s="8">
        <f t="shared" si="7"/>
        <v>36964.125</v>
      </c>
      <c r="P18" s="8">
        <f t="shared" si="7"/>
        <v>39768.300000000003</v>
      </c>
      <c r="Q18" s="8">
        <f t="shared" si="7"/>
        <v>42699.9375</v>
      </c>
      <c r="R18" s="8">
        <f t="shared" si="7"/>
        <v>45504.112500000003</v>
      </c>
      <c r="S18" s="8">
        <f t="shared" si="7"/>
        <v>48435.75</v>
      </c>
      <c r="T18" s="8">
        <f t="shared" si="7"/>
        <v>51239.925000000003</v>
      </c>
      <c r="U18" s="8">
        <f t="shared" si="7"/>
        <v>54044.1</v>
      </c>
      <c r="V18" s="8">
        <f t="shared" si="7"/>
        <v>56975.737500000003</v>
      </c>
      <c r="Y18" s="8"/>
      <c r="Z18" s="7"/>
      <c r="AA18" s="4"/>
    </row>
    <row r="19" spans="1:27" ht="18.75" x14ac:dyDescent="0.3">
      <c r="A19" s="5"/>
      <c r="B19" s="8"/>
      <c r="Y19" s="8"/>
      <c r="Z19" s="7"/>
      <c r="AA19" s="4"/>
    </row>
    <row r="20" spans="1:27" ht="18.75" x14ac:dyDescent="0.3">
      <c r="A20" s="5" t="s">
        <v>26</v>
      </c>
      <c r="B20" s="8">
        <f>(B14/$B$21)*100</f>
        <v>0</v>
      </c>
      <c r="C20" s="8">
        <f t="shared" ref="C20:V20" si="8">(C14/$B$21)*100</f>
        <v>2.22974342594242</v>
      </c>
      <c r="D20" s="8">
        <f t="shared" si="8"/>
        <v>4.4594868518848401</v>
      </c>
      <c r="E20" s="8">
        <f t="shared" si="8"/>
        <v>6.7905822517337331</v>
      </c>
      <c r="F20" s="8">
        <f t="shared" si="8"/>
        <v>9.0203256776761531</v>
      </c>
      <c r="G20" s="8">
        <f t="shared" si="8"/>
        <v>11.250069103618571</v>
      </c>
      <c r="H20" s="8">
        <f t="shared" si="8"/>
        <v>13.581164503467466</v>
      </c>
      <c r="I20" s="8">
        <f t="shared" si="8"/>
        <v>15.810907929409886</v>
      </c>
      <c r="J20" s="8">
        <f t="shared" si="8"/>
        <v>18.040651355352306</v>
      </c>
      <c r="K20" s="8">
        <f t="shared" si="8"/>
        <v>20.371746755201197</v>
      </c>
      <c r="L20" s="8">
        <f t="shared" si="8"/>
        <v>22.601490181143618</v>
      </c>
      <c r="M20" s="8">
        <f t="shared" si="8"/>
        <v>24.831233607086041</v>
      </c>
      <c r="N20" s="8">
        <f t="shared" si="8"/>
        <v>27.162329006934932</v>
      </c>
      <c r="O20" s="8">
        <f t="shared" si="8"/>
        <v>29.392072432877352</v>
      </c>
      <c r="P20" s="8">
        <f t="shared" si="8"/>
        <v>31.621815858819772</v>
      </c>
      <c r="Q20" s="8">
        <f t="shared" si="8"/>
        <v>33.952911258668664</v>
      </c>
      <c r="R20" s="8">
        <f t="shared" si="8"/>
        <v>36.182654684611087</v>
      </c>
      <c r="S20" s="8">
        <f t="shared" si="8"/>
        <v>38.513750084459978</v>
      </c>
      <c r="T20" s="8">
        <f t="shared" si="8"/>
        <v>40.743493510402395</v>
      </c>
      <c r="U20" s="8">
        <f t="shared" si="8"/>
        <v>42.973236936344819</v>
      </c>
      <c r="V20" s="8">
        <f t="shared" si="8"/>
        <v>45.30433233619371</v>
      </c>
    </row>
    <row r="21" spans="1:27" ht="18.75" x14ac:dyDescent="0.3">
      <c r="A21" s="5" t="s">
        <v>21</v>
      </c>
      <c r="B21" s="22">
        <v>488397</v>
      </c>
      <c r="C21" s="19"/>
      <c r="D21" s="19"/>
      <c r="E21" s="19"/>
    </row>
    <row r="22" spans="1:27" ht="18.75" x14ac:dyDescent="0.3">
      <c r="A22" s="5" t="s">
        <v>36</v>
      </c>
      <c r="B22" s="25">
        <v>3</v>
      </c>
      <c r="C22" s="19"/>
      <c r="D22" s="19"/>
      <c r="E22" s="19"/>
    </row>
    <row r="23" spans="1:27" ht="48" x14ac:dyDescent="0.3">
      <c r="A23" s="5"/>
      <c r="B23" s="25" t="s">
        <v>41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7" ht="18.75" x14ac:dyDescent="0.3">
      <c r="A24" s="5" t="s">
        <v>32</v>
      </c>
      <c r="B24" s="19">
        <v>0.25750000000000001</v>
      </c>
      <c r="C24" s="19"/>
      <c r="D24" s="19"/>
      <c r="E24" s="19"/>
    </row>
    <row r="25" spans="1:27" ht="18.75" x14ac:dyDescent="0.3">
      <c r="A25" s="5" t="s">
        <v>33</v>
      </c>
      <c r="B25" s="19">
        <v>1.1584529128085801</v>
      </c>
      <c r="C25" s="19"/>
      <c r="D25" s="19"/>
      <c r="E25" s="19"/>
    </row>
    <row r="26" spans="1:27" ht="18.75" x14ac:dyDescent="0.3">
      <c r="A26" s="5"/>
      <c r="B26" s="19" t="s">
        <v>27</v>
      </c>
      <c r="C26" s="19"/>
      <c r="D26" s="19"/>
      <c r="E26" s="19"/>
      <c r="F26" s="7"/>
    </row>
    <row r="27" spans="1:27" ht="18.75" x14ac:dyDescent="0.3">
      <c r="A27" s="5" t="s">
        <v>28</v>
      </c>
      <c r="B27" s="19">
        <f>'[1]Life cycle impact'!$B$2</f>
        <v>1793947.6129864336</v>
      </c>
      <c r="C27" s="19"/>
      <c r="D27" s="19"/>
      <c r="E27" s="19"/>
      <c r="F27" s="7"/>
    </row>
    <row r="28" spans="1:27" ht="18.75" x14ac:dyDescent="0.3">
      <c r="A28" s="5" t="s">
        <v>29</v>
      </c>
      <c r="B28" s="19">
        <f>'[1]Life Cycle Phase'!$G$6</f>
        <v>308473.90020924661</v>
      </c>
      <c r="C28" s="19"/>
      <c r="D28" s="19"/>
      <c r="E28" s="19"/>
    </row>
    <row r="29" spans="1:27" ht="18.75" x14ac:dyDescent="0.3">
      <c r="A29" s="5" t="s">
        <v>30</v>
      </c>
      <c r="B29" s="19">
        <f>'[1]Life Cycle Phase'!$I$6</f>
        <v>300504.43245110312</v>
      </c>
      <c r="C29" s="19"/>
      <c r="D29" s="19"/>
      <c r="E29" s="19"/>
    </row>
    <row r="30" spans="1:27" ht="18.75" x14ac:dyDescent="0.3">
      <c r="A30" s="5" t="s">
        <v>38</v>
      </c>
      <c r="B30">
        <f>'[1]Operational Phase'!$N$7</f>
        <v>529889.69337909925</v>
      </c>
      <c r="C30" s="19"/>
      <c r="D30" s="19"/>
      <c r="E30" s="19"/>
    </row>
    <row r="31" spans="1:27" ht="15.75" x14ac:dyDescent="0.25">
      <c r="B31" s="19"/>
      <c r="C31" s="19"/>
      <c r="D31" s="19"/>
      <c r="E31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FFEE-4019-48AE-A64B-9F3D0E245597}">
  <sheetPr codeName="Sheet2"/>
  <dimension ref="A1:AT409"/>
  <sheetViews>
    <sheetView tabSelected="1" workbookViewId="0">
      <selection activeCell="N18" sqref="N18"/>
    </sheetView>
  </sheetViews>
  <sheetFormatPr defaultRowHeight="15" x14ac:dyDescent="0.25"/>
  <cols>
    <col min="1" max="1" width="13.28515625" customWidth="1"/>
    <col min="2" max="2" width="11.42578125" customWidth="1"/>
    <col min="3" max="3" width="14.28515625" customWidth="1"/>
    <col min="4" max="4" width="10.5703125" customWidth="1"/>
    <col min="5" max="5" width="12.5703125" style="20" customWidth="1"/>
    <col min="6" max="6" width="15" customWidth="1"/>
    <col min="7" max="7" width="16.42578125" style="24" customWidth="1"/>
    <col min="8" max="8" width="12.85546875" style="23" customWidth="1"/>
    <col min="9" max="9" width="19.140625" customWidth="1"/>
    <col min="10" max="10" width="16.7109375" customWidth="1"/>
    <col min="11" max="11" width="15.140625" customWidth="1"/>
    <col min="12" max="12" width="15.42578125" customWidth="1"/>
    <col min="13" max="13" width="14.7109375" customWidth="1"/>
    <col min="14" max="14" width="14.85546875" customWidth="1"/>
    <col min="15" max="15" width="16" customWidth="1"/>
    <col min="16" max="19" width="17.7109375" customWidth="1"/>
    <col min="20" max="20" width="14.140625" customWidth="1"/>
    <col min="21" max="21" width="15.5703125" customWidth="1"/>
    <col min="22" max="22" width="14.42578125" customWidth="1"/>
    <col min="23" max="23" width="17" customWidth="1"/>
    <col min="24" max="24" width="17.140625" customWidth="1"/>
    <col min="25" max="25" width="17.28515625" customWidth="1"/>
    <col min="26" max="28" width="18" customWidth="1"/>
    <col min="29" max="29" width="16.5703125" customWidth="1"/>
    <col min="30" max="30" width="14.85546875" customWidth="1"/>
    <col min="31" max="31" width="16.42578125" customWidth="1"/>
    <col min="32" max="32" width="17.5703125" customWidth="1"/>
    <col min="33" max="33" width="16.5703125" customWidth="1"/>
    <col min="34" max="34" width="16.42578125" customWidth="1"/>
    <col min="35" max="35" width="13.85546875" customWidth="1"/>
    <col min="36" max="38" width="14" customWidth="1"/>
    <col min="39" max="39" width="15.5703125" customWidth="1"/>
    <col min="40" max="40" width="17.28515625" customWidth="1"/>
    <col min="41" max="41" width="16.42578125" customWidth="1"/>
    <col min="42" max="42" width="15.140625" customWidth="1"/>
    <col min="43" max="43" width="14.7109375" customWidth="1"/>
    <col min="44" max="44" width="16" customWidth="1"/>
    <col min="45" max="45" width="18.7109375" customWidth="1"/>
    <col min="46" max="46" width="16.28515625" customWidth="1"/>
  </cols>
  <sheetData>
    <row r="1" spans="1:46" ht="62.25" customHeight="1" x14ac:dyDescent="0.25">
      <c r="A1" s="21" t="s">
        <v>22</v>
      </c>
      <c r="B1" s="21" t="s">
        <v>40</v>
      </c>
      <c r="C1" s="21" t="s">
        <v>35</v>
      </c>
      <c r="D1" s="21" t="s">
        <v>34</v>
      </c>
      <c r="E1" s="21" t="s">
        <v>37</v>
      </c>
      <c r="F1" s="21" t="s">
        <v>42</v>
      </c>
      <c r="G1" s="27" t="s">
        <v>43</v>
      </c>
      <c r="H1" s="27" t="s">
        <v>44</v>
      </c>
      <c r="I1" s="21" t="s">
        <v>45</v>
      </c>
      <c r="J1" s="21" t="s">
        <v>46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x14ac:dyDescent="0.25">
      <c r="A2">
        <v>0</v>
      </c>
      <c r="B2" cm="1">
        <f t="array" ref="B2:B22">TRANSPOSE(Sheet1!B14:V14)</f>
        <v>0</v>
      </c>
      <c r="C2">
        <f>B2*Sheet1!$B$24</f>
        <v>0</v>
      </c>
      <c r="D2">
        <f>Sheet1!$B$21-B2</f>
        <v>488397</v>
      </c>
      <c r="E2" s="20">
        <f>D2*Sheet1!$B$25</f>
        <v>565784.92725697206</v>
      </c>
      <c r="F2">
        <f>E2*50 + Sheet1!$B$30 +C2*Sheet1!$B$22</f>
        <v>28819136.056227703</v>
      </c>
      <c r="G2" s="26">
        <f>C2+Sheet1!$B$27+Sheet1!$B$28+Sheet1!$B$29</f>
        <v>2402925.9456467833</v>
      </c>
      <c r="H2" s="26">
        <f t="shared" ref="H2:H22" si="0">F2+G2</f>
        <v>31222062.001874484</v>
      </c>
      <c r="I2">
        <f>(($F$2- F2)/$F$2)*100</f>
        <v>0</v>
      </c>
      <c r="J2">
        <f>(($H$2- H2)/$H$2)*100</f>
        <v>0</v>
      </c>
    </row>
    <row r="3" spans="1:46" x14ac:dyDescent="0.25">
      <c r="A3">
        <v>5</v>
      </c>
      <c r="B3">
        <v>10890</v>
      </c>
      <c r="C3">
        <f>B3*Sheet1!$B$24</f>
        <v>2804.1750000000002</v>
      </c>
      <c r="D3">
        <f>Sheet1!$B$21-B3</f>
        <v>477507</v>
      </c>
      <c r="E3" s="20">
        <f>D3*Sheet1!$B$25</f>
        <v>553169.37503648666</v>
      </c>
      <c r="F3">
        <f>E3*50 + Sheet1!$B$30 +C3*Sheet1!$B$22</f>
        <v>28196770.970203433</v>
      </c>
      <c r="G3" s="26">
        <f>C3+Sheet1!$B$27+Sheet1!$B$28+Sheet1!$B$29</f>
        <v>2405730.1206467832</v>
      </c>
      <c r="H3" s="26">
        <f t="shared" si="0"/>
        <v>30602501.090850215</v>
      </c>
      <c r="I3">
        <f t="shared" ref="I3:I22" si="1">(($F$2- F3)/$F$2)*100</f>
        <v>2.1595549735078845</v>
      </c>
      <c r="J3">
        <f t="shared" ref="J3:J22" si="2">(($H$2- H3)/$H$2)*100</f>
        <v>1.9843689727701908</v>
      </c>
    </row>
    <row r="4" spans="1:46" x14ac:dyDescent="0.25">
      <c r="A4">
        <v>10</v>
      </c>
      <c r="B4">
        <v>21780</v>
      </c>
      <c r="C4">
        <f>B4*Sheet1!$B$24</f>
        <v>5608.35</v>
      </c>
      <c r="D4">
        <f>Sheet1!$B$21-B4</f>
        <v>466617</v>
      </c>
      <c r="E4" s="20">
        <f>D4*Sheet1!$B$25</f>
        <v>540553.82281600125</v>
      </c>
      <c r="F4">
        <f>E4*50 + Sheet1!$B$30 +C4*Sheet1!$B$22</f>
        <v>27574405.884179164</v>
      </c>
      <c r="G4" s="26">
        <f>C4+Sheet1!$B$27+Sheet1!$B$28+Sheet1!$B$29</f>
        <v>2408534.295646783</v>
      </c>
      <c r="H4" s="26">
        <f t="shared" si="0"/>
        <v>29982940.179825947</v>
      </c>
      <c r="I4">
        <f t="shared" si="1"/>
        <v>4.319109947015769</v>
      </c>
      <c r="J4">
        <f t="shared" si="2"/>
        <v>3.9687379455403815</v>
      </c>
    </row>
    <row r="5" spans="1:46" x14ac:dyDescent="0.25">
      <c r="A5">
        <v>15</v>
      </c>
      <c r="B5">
        <v>33165</v>
      </c>
      <c r="C5">
        <f>B5*Sheet1!$B$24</f>
        <v>8539.9875000000011</v>
      </c>
      <c r="D5">
        <f>Sheet1!$B$21-B5</f>
        <v>455232</v>
      </c>
      <c r="E5" s="20">
        <f>D5*Sheet1!$B$25</f>
        <v>527364.83640367549</v>
      </c>
      <c r="F5">
        <f>E5*50 + Sheet1!$B$30 +C5*Sheet1!$B$22</f>
        <v>26923751.476062875</v>
      </c>
      <c r="G5" s="26">
        <f>C5+Sheet1!$B$27+Sheet1!$B$28+Sheet1!$B$29</f>
        <v>2411465.9331467832</v>
      </c>
      <c r="H5" s="26">
        <f t="shared" si="0"/>
        <v>29335217.409209657</v>
      </c>
      <c r="I5">
        <f t="shared" si="1"/>
        <v>6.5768265102285826</v>
      </c>
      <c r="J5">
        <f t="shared" si="2"/>
        <v>6.0433055079819704</v>
      </c>
    </row>
    <row r="6" spans="1:46" x14ac:dyDescent="0.25">
      <c r="A6">
        <v>20</v>
      </c>
      <c r="B6">
        <v>44055.000000000007</v>
      </c>
      <c r="C6">
        <f>B6*Sheet1!$B$24</f>
        <v>11344.162500000002</v>
      </c>
      <c r="D6">
        <f>Sheet1!$B$21-B6</f>
        <v>444342</v>
      </c>
      <c r="E6" s="20">
        <f>D6*Sheet1!$B$25</f>
        <v>514749.28418319009</v>
      </c>
      <c r="F6">
        <f>E6*50 + Sheet1!$B$30 +C6*Sheet1!$B$22</f>
        <v>26301386.390038606</v>
      </c>
      <c r="G6" s="26">
        <f>C6+Sheet1!$B$27+Sheet1!$B$28+Sheet1!$B$29</f>
        <v>2414270.108146783</v>
      </c>
      <c r="H6" s="26">
        <f t="shared" si="0"/>
        <v>28715656.498185389</v>
      </c>
      <c r="I6">
        <f t="shared" si="1"/>
        <v>8.7363814837364657</v>
      </c>
      <c r="J6">
        <f t="shared" si="2"/>
        <v>8.0276744807521609</v>
      </c>
    </row>
    <row r="7" spans="1:46" x14ac:dyDescent="0.25">
      <c r="A7">
        <v>25</v>
      </c>
      <c r="B7">
        <v>54945</v>
      </c>
      <c r="C7">
        <f>B7*Sheet1!$B$24</f>
        <v>14148.3375</v>
      </c>
      <c r="D7">
        <f>Sheet1!$B$21-B7</f>
        <v>433452</v>
      </c>
      <c r="E7" s="20">
        <f>D7*Sheet1!$B$25</f>
        <v>502133.73196270468</v>
      </c>
      <c r="F7">
        <f>E7*50 + Sheet1!$B$30 +C7*Sheet1!$B$22</f>
        <v>25679021.304014333</v>
      </c>
      <c r="G7" s="26">
        <f>C7+Sheet1!$B$27+Sheet1!$B$28+Sheet1!$B$29</f>
        <v>2417074.2831467828</v>
      </c>
      <c r="H7" s="26">
        <f t="shared" si="0"/>
        <v>28096095.587161116</v>
      </c>
      <c r="I7">
        <f t="shared" si="1"/>
        <v>10.895936457244366</v>
      </c>
      <c r="J7">
        <f t="shared" si="2"/>
        <v>10.012043453522363</v>
      </c>
    </row>
    <row r="8" spans="1:46" x14ac:dyDescent="0.25">
      <c r="A8">
        <v>30</v>
      </c>
      <c r="B8">
        <v>66330</v>
      </c>
      <c r="C8">
        <f>B8*Sheet1!$B$24</f>
        <v>17079.975000000002</v>
      </c>
      <c r="D8">
        <f>Sheet1!$B$21-B8</f>
        <v>422067</v>
      </c>
      <c r="E8" s="20">
        <f>D8*Sheet1!$B$25</f>
        <v>488944.74555037898</v>
      </c>
      <c r="F8">
        <f>E8*50 + Sheet1!$B$30 +C8*Sheet1!$B$22</f>
        <v>25028366.895898052</v>
      </c>
      <c r="G8" s="26">
        <f>C8+Sheet1!$B$27+Sheet1!$B$28+Sheet1!$B$29</f>
        <v>2420005.920646783</v>
      </c>
      <c r="H8" s="26">
        <f t="shared" si="0"/>
        <v>27448372.816544835</v>
      </c>
      <c r="I8">
        <f t="shared" si="1"/>
        <v>13.153653020457151</v>
      </c>
      <c r="J8">
        <f t="shared" si="2"/>
        <v>12.08661101596393</v>
      </c>
    </row>
    <row r="9" spans="1:46" x14ac:dyDescent="0.25">
      <c r="A9">
        <v>35</v>
      </c>
      <c r="B9">
        <v>77220</v>
      </c>
      <c r="C9">
        <f>B9*Sheet1!$B$24</f>
        <v>19884.150000000001</v>
      </c>
      <c r="D9">
        <f>Sheet1!$B$21-B9</f>
        <v>411177</v>
      </c>
      <c r="E9" s="20">
        <f>D9*Sheet1!$B$25</f>
        <v>476329.19332989352</v>
      </c>
      <c r="F9">
        <f>E9*50 + Sheet1!$B$30 +C9*Sheet1!$B$22</f>
        <v>24406001.809873775</v>
      </c>
      <c r="G9" s="26">
        <f>C9+Sheet1!$B$27+Sheet1!$B$28+Sheet1!$B$29</f>
        <v>2422810.0956467828</v>
      </c>
      <c r="H9" s="26">
        <f t="shared" si="0"/>
        <v>26828811.905520558</v>
      </c>
      <c r="I9">
        <f t="shared" si="1"/>
        <v>15.313207993965062</v>
      </c>
      <c r="J9">
        <f t="shared" si="2"/>
        <v>14.070979988734145</v>
      </c>
    </row>
    <row r="10" spans="1:46" x14ac:dyDescent="0.25">
      <c r="A10">
        <v>40</v>
      </c>
      <c r="B10">
        <v>88110.000000000015</v>
      </c>
      <c r="C10">
        <f>B10*Sheet1!$B$24</f>
        <v>22688.325000000004</v>
      </c>
      <c r="D10">
        <f>Sheet1!$B$21-B10</f>
        <v>400287</v>
      </c>
      <c r="E10" s="20">
        <f>D10*Sheet1!$B$25</f>
        <v>463713.64110940811</v>
      </c>
      <c r="F10">
        <f>E10*50 + Sheet1!$B$30 +C10*Sheet1!$B$22</f>
        <v>23783636.723849509</v>
      </c>
      <c r="G10" s="26">
        <f>C10+Sheet1!$B$27+Sheet1!$B$28+Sheet1!$B$29</f>
        <v>2425614.2706467835</v>
      </c>
      <c r="H10" s="26">
        <f t="shared" si="0"/>
        <v>26209250.994496293</v>
      </c>
      <c r="I10">
        <f t="shared" si="1"/>
        <v>17.472762967472931</v>
      </c>
      <c r="J10">
        <f t="shared" si="2"/>
        <v>16.055348961504322</v>
      </c>
    </row>
    <row r="11" spans="1:46" x14ac:dyDescent="0.25">
      <c r="A11">
        <v>45</v>
      </c>
      <c r="B11">
        <v>99495</v>
      </c>
      <c r="C11">
        <f>B11*Sheet1!$B$24</f>
        <v>25619.962500000001</v>
      </c>
      <c r="D11">
        <f>Sheet1!$B$21-B11</f>
        <v>388902</v>
      </c>
      <c r="E11" s="20">
        <f>D11*Sheet1!$B$25</f>
        <v>450524.65469708241</v>
      </c>
      <c r="F11">
        <f>E11*50 + Sheet1!$B$30 +C11*Sheet1!$B$22</f>
        <v>23132982.31573322</v>
      </c>
      <c r="G11" s="26">
        <f>C11+Sheet1!$B$27+Sheet1!$B$28+Sheet1!$B$29</f>
        <v>2428545.9081467828</v>
      </c>
      <c r="H11" s="26">
        <f t="shared" si="0"/>
        <v>25561528.223880004</v>
      </c>
      <c r="I11">
        <f t="shared" si="1"/>
        <v>19.730479530685745</v>
      </c>
      <c r="J11">
        <f t="shared" si="2"/>
        <v>18.129916523945912</v>
      </c>
    </row>
    <row r="12" spans="1:46" x14ac:dyDescent="0.25">
      <c r="A12">
        <v>50</v>
      </c>
      <c r="B12">
        <v>110385</v>
      </c>
      <c r="C12">
        <f>B12*Sheet1!$B$24</f>
        <v>28424.137500000001</v>
      </c>
      <c r="D12">
        <f>Sheet1!$B$21-B12</f>
        <v>378012</v>
      </c>
      <c r="E12" s="20">
        <f>D12*Sheet1!$B$25</f>
        <v>437909.10247659701</v>
      </c>
      <c r="F12">
        <f>E12*50 + Sheet1!$B$30 +C12*Sheet1!$B$22</f>
        <v>22510617.229708951</v>
      </c>
      <c r="G12" s="26">
        <f>C12+Sheet1!$B$27+Sheet1!$B$28+Sheet1!$B$29</f>
        <v>2431350.0831467835</v>
      </c>
      <c r="H12" s="26">
        <f t="shared" si="0"/>
        <v>24941967.312855735</v>
      </c>
      <c r="I12">
        <f t="shared" si="1"/>
        <v>21.890034504193633</v>
      </c>
      <c r="J12">
        <f t="shared" si="2"/>
        <v>20.114285496716104</v>
      </c>
    </row>
    <row r="13" spans="1:46" x14ac:dyDescent="0.25">
      <c r="A13">
        <v>55.000000000000007</v>
      </c>
      <c r="B13">
        <v>121275.00000000001</v>
      </c>
      <c r="C13">
        <f>B13*Sheet1!$B$24</f>
        <v>31228.312500000004</v>
      </c>
      <c r="D13">
        <f>Sheet1!$B$21-B13</f>
        <v>367122</v>
      </c>
      <c r="E13" s="20">
        <f>D13*Sheet1!$B$25</f>
        <v>425293.55025611154</v>
      </c>
      <c r="F13">
        <f>E13*50 + Sheet1!$B$30 +C13*Sheet1!$B$22</f>
        <v>21888252.143684678</v>
      </c>
      <c r="G13" s="26">
        <f>C13+Sheet1!$B$27+Sheet1!$B$28+Sheet1!$B$29</f>
        <v>2434154.2581467833</v>
      </c>
      <c r="H13" s="26">
        <f t="shared" si="0"/>
        <v>24322406.401831463</v>
      </c>
      <c r="I13">
        <f t="shared" si="1"/>
        <v>24.049589477701527</v>
      </c>
      <c r="J13">
        <f t="shared" si="2"/>
        <v>22.098654469486306</v>
      </c>
    </row>
    <row r="14" spans="1:46" x14ac:dyDescent="0.25">
      <c r="A14">
        <v>60</v>
      </c>
      <c r="B14">
        <v>132660</v>
      </c>
      <c r="C14">
        <f>B14*Sheet1!$B$24</f>
        <v>34159.950000000004</v>
      </c>
      <c r="D14">
        <f>Sheet1!$B$21-B14</f>
        <v>355737</v>
      </c>
      <c r="E14" s="20">
        <f>D14*Sheet1!$B$25</f>
        <v>412104.56384378584</v>
      </c>
      <c r="F14">
        <f>E14*50 + Sheet1!$B$30 +C14*Sheet1!$B$22</f>
        <v>21237597.735568393</v>
      </c>
      <c r="G14" s="26">
        <f>C14+Sheet1!$B$27+Sheet1!$B$28+Sheet1!$B$29</f>
        <v>2437085.8956467835</v>
      </c>
      <c r="H14" s="26">
        <f t="shared" si="0"/>
        <v>23674683.631215177</v>
      </c>
      <c r="I14">
        <f t="shared" si="1"/>
        <v>26.30730604091433</v>
      </c>
      <c r="J14">
        <f t="shared" si="2"/>
        <v>24.173222031927882</v>
      </c>
    </row>
    <row r="15" spans="1:46" x14ac:dyDescent="0.25">
      <c r="A15">
        <v>65</v>
      </c>
      <c r="B15">
        <v>143550</v>
      </c>
      <c r="C15">
        <f>B15*Sheet1!$B$24</f>
        <v>36964.125</v>
      </c>
      <c r="D15">
        <f>Sheet1!$B$21-B15</f>
        <v>344847</v>
      </c>
      <c r="E15" s="20">
        <f>D15*Sheet1!$B$25</f>
        <v>399489.01162330044</v>
      </c>
      <c r="F15">
        <f>E15*50 + Sheet1!$B$30 +C15*Sheet1!$B$22</f>
        <v>20615232.649544124</v>
      </c>
      <c r="G15" s="26">
        <f>C15+Sheet1!$B$27+Sheet1!$B$28+Sheet1!$B$29</f>
        <v>2439890.0706467833</v>
      </c>
      <c r="H15" s="26">
        <f t="shared" si="0"/>
        <v>23055122.720190905</v>
      </c>
      <c r="I15">
        <f t="shared" si="1"/>
        <v>28.466861014422211</v>
      </c>
      <c r="J15">
        <f t="shared" si="2"/>
        <v>26.157591004698084</v>
      </c>
    </row>
    <row r="16" spans="1:46" x14ac:dyDescent="0.25">
      <c r="A16">
        <v>70</v>
      </c>
      <c r="B16">
        <v>154440</v>
      </c>
      <c r="C16">
        <f>B16*Sheet1!$B$24</f>
        <v>39768.300000000003</v>
      </c>
      <c r="D16">
        <f>Sheet1!$B$21-B16</f>
        <v>333957</v>
      </c>
      <c r="E16" s="20">
        <f>D16*Sheet1!$B$25</f>
        <v>386873.45940281497</v>
      </c>
      <c r="F16">
        <f>E16*50 + Sheet1!$B$30 +C16*Sheet1!$B$22</f>
        <v>19992867.563519847</v>
      </c>
      <c r="G16" s="26">
        <f>C16+Sheet1!$B$27+Sheet1!$B$28+Sheet1!$B$29</f>
        <v>2442694.2456467832</v>
      </c>
      <c r="H16" s="26">
        <f t="shared" si="0"/>
        <v>22435561.809166629</v>
      </c>
      <c r="I16">
        <f t="shared" si="1"/>
        <v>30.626415987930123</v>
      </c>
      <c r="J16">
        <f t="shared" si="2"/>
        <v>28.1419599774683</v>
      </c>
    </row>
    <row r="17" spans="1:10" x14ac:dyDescent="0.25">
      <c r="A17">
        <v>75</v>
      </c>
      <c r="B17">
        <v>165825</v>
      </c>
      <c r="C17">
        <f>B17*Sheet1!$B$24</f>
        <v>42699.9375</v>
      </c>
      <c r="D17">
        <f>Sheet1!$B$21-B17</f>
        <v>322572</v>
      </c>
      <c r="E17" s="20">
        <f>D17*Sheet1!$B$25</f>
        <v>373684.47299048927</v>
      </c>
      <c r="F17">
        <f>E17*50 + Sheet1!$B$30 +C17*Sheet1!$B$22</f>
        <v>19342213.155403566</v>
      </c>
      <c r="G17" s="26">
        <f>C17+Sheet1!$B$27+Sheet1!$B$28+Sheet1!$B$29</f>
        <v>2445625.8831467833</v>
      </c>
      <c r="H17" s="26">
        <f t="shared" si="0"/>
        <v>21787839.038550347</v>
      </c>
      <c r="I17">
        <f t="shared" si="1"/>
        <v>32.884132551142912</v>
      </c>
      <c r="J17">
        <f t="shared" si="2"/>
        <v>30.216527539909865</v>
      </c>
    </row>
    <row r="18" spans="1:10" x14ac:dyDescent="0.25">
      <c r="A18">
        <v>80</v>
      </c>
      <c r="B18">
        <v>176715</v>
      </c>
      <c r="C18">
        <f>B18*Sheet1!$B$24</f>
        <v>45504.112500000003</v>
      </c>
      <c r="D18">
        <f>Sheet1!$B$21-B18</f>
        <v>311682</v>
      </c>
      <c r="E18" s="20">
        <f>D18*Sheet1!$B$25</f>
        <v>361068.92077000387</v>
      </c>
      <c r="F18">
        <f>E18*50 + Sheet1!$B$30 +C18*Sheet1!$B$22</f>
        <v>18719848.069379292</v>
      </c>
      <c r="G18" s="26">
        <f>C18+Sheet1!$B$27+Sheet1!$B$28+Sheet1!$B$29</f>
        <v>2448430.0581467832</v>
      </c>
      <c r="H18" s="26">
        <f t="shared" si="0"/>
        <v>21168278.127526075</v>
      </c>
      <c r="I18">
        <f t="shared" si="1"/>
        <v>35.043687524650807</v>
      </c>
      <c r="J18">
        <f t="shared" si="2"/>
        <v>32.200896512680067</v>
      </c>
    </row>
    <row r="19" spans="1:10" x14ac:dyDescent="0.25">
      <c r="A19">
        <v>85</v>
      </c>
      <c r="B19">
        <v>188100</v>
      </c>
      <c r="C19">
        <f>B19*Sheet1!$B$24</f>
        <v>48435.75</v>
      </c>
      <c r="D19">
        <f>Sheet1!$B$21-B19</f>
        <v>300297</v>
      </c>
      <c r="E19" s="20">
        <f>D19*Sheet1!$B$25</f>
        <v>347879.93435767817</v>
      </c>
      <c r="F19">
        <f>E19*50 + Sheet1!$B$30 +C19*Sheet1!$B$22</f>
        <v>18069193.661263008</v>
      </c>
      <c r="G19" s="26">
        <f>C19+Sheet1!$B$27+Sheet1!$B$28+Sheet1!$B$29</f>
        <v>2451361.6956467833</v>
      </c>
      <c r="H19" s="26">
        <f t="shared" si="0"/>
        <v>20520555.356909789</v>
      </c>
      <c r="I19">
        <f t="shared" si="1"/>
        <v>37.301404087863602</v>
      </c>
      <c r="J19">
        <f t="shared" si="2"/>
        <v>34.275464075121647</v>
      </c>
    </row>
    <row r="20" spans="1:10" x14ac:dyDescent="0.25">
      <c r="A20">
        <v>90</v>
      </c>
      <c r="B20">
        <v>198990</v>
      </c>
      <c r="C20">
        <f>B20*Sheet1!$B$24</f>
        <v>51239.925000000003</v>
      </c>
      <c r="D20">
        <f>Sheet1!$B$21-B20</f>
        <v>289407</v>
      </c>
      <c r="E20" s="20">
        <f>D20*Sheet1!$B$25</f>
        <v>335264.38213719276</v>
      </c>
      <c r="F20">
        <f>E20*50 + Sheet1!$B$30 +C20*Sheet1!$B$22</f>
        <v>17446828.575238734</v>
      </c>
      <c r="G20" s="26">
        <f>C20+Sheet1!$B$27+Sheet1!$B$28+Sheet1!$B$29</f>
        <v>2454165.8706467832</v>
      </c>
      <c r="H20" s="26">
        <f t="shared" si="0"/>
        <v>19900994.445885517</v>
      </c>
      <c r="I20">
        <f t="shared" si="1"/>
        <v>39.460959061371504</v>
      </c>
      <c r="J20">
        <f t="shared" si="2"/>
        <v>36.259833047891846</v>
      </c>
    </row>
    <row r="21" spans="1:10" x14ac:dyDescent="0.25">
      <c r="A21">
        <v>95</v>
      </c>
      <c r="B21">
        <v>209880</v>
      </c>
      <c r="C21">
        <f>B21*Sheet1!$B$24</f>
        <v>54044.1</v>
      </c>
      <c r="D21">
        <f>Sheet1!$B$21-B21</f>
        <v>278517</v>
      </c>
      <c r="E21" s="20">
        <f>D21*Sheet1!$B$25</f>
        <v>322648.8299167073</v>
      </c>
      <c r="F21">
        <f>E21*50 + Sheet1!$B$30 +C21*Sheet1!$B$22</f>
        <v>16824463.489214465</v>
      </c>
      <c r="G21" s="26">
        <f>C21+Sheet1!$B$27+Sheet1!$B$28+Sheet1!$B$29</f>
        <v>2456970.045646783</v>
      </c>
      <c r="H21" s="26">
        <f t="shared" si="0"/>
        <v>19281433.534861248</v>
      </c>
      <c r="I21">
        <f t="shared" si="1"/>
        <v>41.620514034879392</v>
      </c>
      <c r="J21">
        <f t="shared" si="2"/>
        <v>38.244202020662037</v>
      </c>
    </row>
    <row r="22" spans="1:10" x14ac:dyDescent="0.25">
      <c r="A22">
        <v>100</v>
      </c>
      <c r="B22">
        <v>221265</v>
      </c>
      <c r="C22">
        <f>B22*Sheet1!$B$24</f>
        <v>56975.737500000003</v>
      </c>
      <c r="D22">
        <f>Sheet1!$B$21-B22</f>
        <v>267132</v>
      </c>
      <c r="E22" s="20">
        <f>D22*Sheet1!$B$25</f>
        <v>309459.8435043816</v>
      </c>
      <c r="F22">
        <f>E22*50 + Sheet1!$B$30 +C22*Sheet1!$B$22</f>
        <v>16173809.081098178</v>
      </c>
      <c r="G22" s="26">
        <f>C22+Sheet1!$B$27+Sheet1!$B$28+Sheet1!$B$29</f>
        <v>2459901.6831467832</v>
      </c>
      <c r="H22" s="26">
        <f t="shared" si="0"/>
        <v>18633710.764244962</v>
      </c>
      <c r="I22">
        <f t="shared" si="1"/>
        <v>43.878230598092195</v>
      </c>
      <c r="J22">
        <f t="shared" si="2"/>
        <v>40.318769583103617</v>
      </c>
    </row>
    <row r="23" spans="1:10" x14ac:dyDescent="0.25">
      <c r="G23"/>
      <c r="H23"/>
    </row>
    <row r="24" spans="1:10" x14ac:dyDescent="0.25">
      <c r="G24"/>
      <c r="H24"/>
    </row>
    <row r="25" spans="1:10" x14ac:dyDescent="0.25">
      <c r="G25"/>
      <c r="H25"/>
    </row>
    <row r="26" spans="1:10" x14ac:dyDescent="0.25">
      <c r="C26">
        <f>33165/488397</f>
        <v>6.790582251733733E-2</v>
      </c>
      <c r="G26"/>
      <c r="H26"/>
    </row>
    <row r="27" spans="1:10" x14ac:dyDescent="0.25">
      <c r="C27">
        <f>165825/488397</f>
        <v>0.33952911258668667</v>
      </c>
      <c r="G27"/>
      <c r="H27"/>
    </row>
    <row r="28" spans="1:10" x14ac:dyDescent="0.25">
      <c r="G28"/>
      <c r="H28"/>
    </row>
    <row r="29" spans="1:10" x14ac:dyDescent="0.25">
      <c r="G29"/>
      <c r="H29"/>
    </row>
    <row r="30" spans="1:10" x14ac:dyDescent="0.25">
      <c r="G30"/>
      <c r="H30"/>
    </row>
    <row r="31" spans="1:10" x14ac:dyDescent="0.25">
      <c r="G31"/>
      <c r="H31"/>
    </row>
    <row r="32" spans="1:10" x14ac:dyDescent="0.25">
      <c r="G32"/>
      <c r="H32"/>
    </row>
    <row r="33" spans="5:8" x14ac:dyDescent="0.25">
      <c r="E33" s="20" t="s">
        <v>19</v>
      </c>
      <c r="G33"/>
      <c r="H33"/>
    </row>
    <row r="34" spans="5:8" x14ac:dyDescent="0.25">
      <c r="G34"/>
      <c r="H34"/>
    </row>
    <row r="35" spans="5:8" x14ac:dyDescent="0.25">
      <c r="G35"/>
      <c r="H35"/>
    </row>
    <row r="36" spans="5:8" x14ac:dyDescent="0.25">
      <c r="G36"/>
      <c r="H36"/>
    </row>
    <row r="37" spans="5:8" x14ac:dyDescent="0.25">
      <c r="G37"/>
      <c r="H37"/>
    </row>
    <row r="38" spans="5:8" x14ac:dyDescent="0.25">
      <c r="G38"/>
      <c r="H38"/>
    </row>
    <row r="39" spans="5:8" x14ac:dyDescent="0.25">
      <c r="G39"/>
      <c r="H39"/>
    </row>
    <row r="40" spans="5:8" x14ac:dyDescent="0.25">
      <c r="G40"/>
      <c r="H40"/>
    </row>
    <row r="41" spans="5:8" x14ac:dyDescent="0.25">
      <c r="G41"/>
      <c r="H41"/>
    </row>
    <row r="42" spans="5:8" x14ac:dyDescent="0.25">
      <c r="G42"/>
      <c r="H42"/>
    </row>
    <row r="43" spans="5:8" x14ac:dyDescent="0.25">
      <c r="G43"/>
      <c r="H43"/>
    </row>
    <row r="44" spans="5:8" x14ac:dyDescent="0.25">
      <c r="G44"/>
      <c r="H44"/>
    </row>
    <row r="45" spans="5:8" x14ac:dyDescent="0.25">
      <c r="G45"/>
      <c r="H45"/>
    </row>
    <row r="46" spans="5:8" x14ac:dyDescent="0.25">
      <c r="G46"/>
      <c r="H46"/>
    </row>
    <row r="47" spans="5:8" x14ac:dyDescent="0.25">
      <c r="G47"/>
      <c r="H47"/>
    </row>
    <row r="48" spans="5:8" x14ac:dyDescent="0.25">
      <c r="G48"/>
      <c r="H48"/>
    </row>
    <row r="49" spans="7:8" x14ac:dyDescent="0.25">
      <c r="G49"/>
      <c r="H49"/>
    </row>
    <row r="50" spans="7:8" x14ac:dyDescent="0.25">
      <c r="G50"/>
      <c r="H50"/>
    </row>
    <row r="51" spans="7:8" x14ac:dyDescent="0.25">
      <c r="G51"/>
      <c r="H51"/>
    </row>
    <row r="52" spans="7:8" x14ac:dyDescent="0.25">
      <c r="G52"/>
      <c r="H52"/>
    </row>
    <row r="53" spans="7:8" x14ac:dyDescent="0.25">
      <c r="G53"/>
      <c r="H53"/>
    </row>
    <row r="54" spans="7:8" x14ac:dyDescent="0.25">
      <c r="G54"/>
      <c r="H54"/>
    </row>
    <row r="55" spans="7:8" x14ac:dyDescent="0.25">
      <c r="G55"/>
      <c r="H55"/>
    </row>
    <row r="56" spans="7:8" x14ac:dyDescent="0.25">
      <c r="G56"/>
      <c r="H56"/>
    </row>
    <row r="57" spans="7:8" x14ac:dyDescent="0.25">
      <c r="G57"/>
      <c r="H57"/>
    </row>
    <row r="58" spans="7:8" x14ac:dyDescent="0.25">
      <c r="G58"/>
      <c r="H58"/>
    </row>
    <row r="59" spans="7:8" x14ac:dyDescent="0.25">
      <c r="G59"/>
      <c r="H59"/>
    </row>
    <row r="60" spans="7:8" x14ac:dyDescent="0.25">
      <c r="G60"/>
      <c r="H60"/>
    </row>
    <row r="61" spans="7:8" x14ac:dyDescent="0.25">
      <c r="G61"/>
      <c r="H61"/>
    </row>
    <row r="62" spans="7:8" x14ac:dyDescent="0.25">
      <c r="G62"/>
      <c r="H62"/>
    </row>
    <row r="63" spans="7:8" x14ac:dyDescent="0.25">
      <c r="G63"/>
      <c r="H63"/>
    </row>
    <row r="64" spans="7:8" x14ac:dyDescent="0.25">
      <c r="G64"/>
      <c r="H64"/>
    </row>
    <row r="65" spans="7:8" x14ac:dyDescent="0.25">
      <c r="G65"/>
      <c r="H65"/>
    </row>
    <row r="66" spans="7:8" x14ac:dyDescent="0.25">
      <c r="G66"/>
      <c r="H66"/>
    </row>
    <row r="67" spans="7:8" x14ac:dyDescent="0.25">
      <c r="G67"/>
      <c r="H67"/>
    </row>
    <row r="68" spans="7:8" x14ac:dyDescent="0.25">
      <c r="G68"/>
      <c r="H68"/>
    </row>
    <row r="69" spans="7:8" x14ac:dyDescent="0.25">
      <c r="G69"/>
      <c r="H69"/>
    </row>
    <row r="70" spans="7:8" x14ac:dyDescent="0.25">
      <c r="G70"/>
      <c r="H70"/>
    </row>
    <row r="71" spans="7:8" x14ac:dyDescent="0.25">
      <c r="G71"/>
      <c r="H71"/>
    </row>
    <row r="72" spans="7:8" x14ac:dyDescent="0.25">
      <c r="G72"/>
      <c r="H72"/>
    </row>
    <row r="73" spans="7:8" x14ac:dyDescent="0.25">
      <c r="G73"/>
      <c r="H73"/>
    </row>
    <row r="74" spans="7:8" x14ac:dyDescent="0.25">
      <c r="G74"/>
      <c r="H74"/>
    </row>
    <row r="75" spans="7:8" x14ac:dyDescent="0.25">
      <c r="G75"/>
      <c r="H75"/>
    </row>
    <row r="76" spans="7:8" x14ac:dyDescent="0.25">
      <c r="G76"/>
      <c r="H76"/>
    </row>
    <row r="77" spans="7:8" x14ac:dyDescent="0.25">
      <c r="G77"/>
      <c r="H77"/>
    </row>
    <row r="78" spans="7:8" x14ac:dyDescent="0.25">
      <c r="G78"/>
      <c r="H78"/>
    </row>
    <row r="79" spans="7:8" x14ac:dyDescent="0.25">
      <c r="G79"/>
      <c r="H79"/>
    </row>
    <row r="80" spans="7:8" x14ac:dyDescent="0.25">
      <c r="G80"/>
      <c r="H80"/>
    </row>
    <row r="81" spans="7:8" x14ac:dyDescent="0.25">
      <c r="G81"/>
      <c r="H81"/>
    </row>
    <row r="82" spans="7:8" x14ac:dyDescent="0.25">
      <c r="G82"/>
      <c r="H82"/>
    </row>
    <row r="83" spans="7:8" x14ac:dyDescent="0.25">
      <c r="G83"/>
      <c r="H83"/>
    </row>
    <row r="84" spans="7:8" x14ac:dyDescent="0.25">
      <c r="G84"/>
      <c r="H84"/>
    </row>
    <row r="85" spans="7:8" x14ac:dyDescent="0.25">
      <c r="G85"/>
      <c r="H85"/>
    </row>
    <row r="86" spans="7:8" x14ac:dyDescent="0.25">
      <c r="G86"/>
      <c r="H86"/>
    </row>
    <row r="87" spans="7:8" x14ac:dyDescent="0.25">
      <c r="G87"/>
      <c r="H87"/>
    </row>
    <row r="88" spans="7:8" x14ac:dyDescent="0.25">
      <c r="G88"/>
      <c r="H88"/>
    </row>
    <row r="89" spans="7:8" x14ac:dyDescent="0.25">
      <c r="G89"/>
      <c r="H89"/>
    </row>
    <row r="90" spans="7:8" x14ac:dyDescent="0.25">
      <c r="G90"/>
      <c r="H90"/>
    </row>
    <row r="91" spans="7:8" x14ac:dyDescent="0.25">
      <c r="G91"/>
      <c r="H91"/>
    </row>
    <row r="92" spans="7:8" x14ac:dyDescent="0.25">
      <c r="G92"/>
      <c r="H92"/>
    </row>
    <row r="93" spans="7:8" x14ac:dyDescent="0.25">
      <c r="G93"/>
      <c r="H93"/>
    </row>
    <row r="94" spans="7:8" x14ac:dyDescent="0.25">
      <c r="G94"/>
      <c r="H94"/>
    </row>
    <row r="95" spans="7:8" x14ac:dyDescent="0.25">
      <c r="G95"/>
      <c r="H95"/>
    </row>
    <row r="96" spans="7:8" x14ac:dyDescent="0.25">
      <c r="G96"/>
      <c r="H96"/>
    </row>
    <row r="97" spans="7:8" x14ac:dyDescent="0.25">
      <c r="G97"/>
      <c r="H97"/>
    </row>
    <row r="98" spans="7:8" x14ac:dyDescent="0.25">
      <c r="G98"/>
      <c r="H98"/>
    </row>
    <row r="99" spans="7:8" x14ac:dyDescent="0.25">
      <c r="G99"/>
      <c r="H99"/>
    </row>
    <row r="100" spans="7:8" x14ac:dyDescent="0.25">
      <c r="G100"/>
      <c r="H100"/>
    </row>
    <row r="101" spans="7:8" x14ac:dyDescent="0.25">
      <c r="G101"/>
      <c r="H101"/>
    </row>
    <row r="102" spans="7:8" x14ac:dyDescent="0.25">
      <c r="G102"/>
      <c r="H102"/>
    </row>
    <row r="103" spans="7:8" x14ac:dyDescent="0.25">
      <c r="G103"/>
      <c r="H103"/>
    </row>
    <row r="104" spans="7:8" x14ac:dyDescent="0.25">
      <c r="G104"/>
      <c r="H104"/>
    </row>
    <row r="105" spans="7:8" x14ac:dyDescent="0.25">
      <c r="G105"/>
      <c r="H105"/>
    </row>
    <row r="106" spans="7:8" x14ac:dyDescent="0.25">
      <c r="G106"/>
      <c r="H106"/>
    </row>
    <row r="107" spans="7:8" x14ac:dyDescent="0.25">
      <c r="G107"/>
      <c r="H107"/>
    </row>
    <row r="108" spans="7:8" x14ac:dyDescent="0.25">
      <c r="G108"/>
      <c r="H108"/>
    </row>
    <row r="109" spans="7:8" x14ac:dyDescent="0.25">
      <c r="G109"/>
      <c r="H109"/>
    </row>
    <row r="110" spans="7:8" x14ac:dyDescent="0.25">
      <c r="G110"/>
      <c r="H110"/>
    </row>
    <row r="111" spans="7:8" x14ac:dyDescent="0.25">
      <c r="G111"/>
      <c r="H111"/>
    </row>
    <row r="112" spans="7:8" x14ac:dyDescent="0.25">
      <c r="G112"/>
      <c r="H112"/>
    </row>
    <row r="113" spans="7:8" x14ac:dyDescent="0.25">
      <c r="G113"/>
      <c r="H113"/>
    </row>
    <row r="114" spans="7:8" x14ac:dyDescent="0.25">
      <c r="G114"/>
      <c r="H114"/>
    </row>
    <row r="115" spans="7:8" x14ac:dyDescent="0.25">
      <c r="G115"/>
      <c r="H115"/>
    </row>
    <row r="116" spans="7:8" x14ac:dyDescent="0.25">
      <c r="G116"/>
      <c r="H116"/>
    </row>
    <row r="117" spans="7:8" x14ac:dyDescent="0.25">
      <c r="G117"/>
      <c r="H117"/>
    </row>
    <row r="118" spans="7:8" x14ac:dyDescent="0.25">
      <c r="G118"/>
      <c r="H118"/>
    </row>
    <row r="119" spans="7:8" x14ac:dyDescent="0.25">
      <c r="G119"/>
      <c r="H119"/>
    </row>
    <row r="120" spans="7:8" x14ac:dyDescent="0.25">
      <c r="G120"/>
      <c r="H120"/>
    </row>
    <row r="121" spans="7:8" x14ac:dyDescent="0.25">
      <c r="G121"/>
      <c r="H121"/>
    </row>
    <row r="122" spans="7:8" x14ac:dyDescent="0.25">
      <c r="G122"/>
      <c r="H122"/>
    </row>
    <row r="123" spans="7:8" x14ac:dyDescent="0.25">
      <c r="G123"/>
      <c r="H123"/>
    </row>
    <row r="124" spans="7:8" x14ac:dyDescent="0.25">
      <c r="G124"/>
      <c r="H124"/>
    </row>
    <row r="125" spans="7:8" x14ac:dyDescent="0.25">
      <c r="G125"/>
      <c r="H125"/>
    </row>
    <row r="126" spans="7:8" x14ac:dyDescent="0.25">
      <c r="G126"/>
      <c r="H126"/>
    </row>
    <row r="127" spans="7:8" x14ac:dyDescent="0.25">
      <c r="G127"/>
      <c r="H127"/>
    </row>
    <row r="128" spans="7:8" x14ac:dyDescent="0.25">
      <c r="G128"/>
      <c r="H128"/>
    </row>
    <row r="129" spans="7:8" x14ac:dyDescent="0.25">
      <c r="G129"/>
      <c r="H129"/>
    </row>
    <row r="130" spans="7:8" x14ac:dyDescent="0.25">
      <c r="G130"/>
      <c r="H130"/>
    </row>
    <row r="131" spans="7:8" x14ac:dyDescent="0.25">
      <c r="G131"/>
      <c r="H131"/>
    </row>
    <row r="132" spans="7:8" x14ac:dyDescent="0.25">
      <c r="G132"/>
      <c r="H132"/>
    </row>
    <row r="133" spans="7:8" x14ac:dyDescent="0.25">
      <c r="G133"/>
      <c r="H133"/>
    </row>
    <row r="134" spans="7:8" x14ac:dyDescent="0.25">
      <c r="G134"/>
      <c r="H134"/>
    </row>
    <row r="135" spans="7:8" x14ac:dyDescent="0.25">
      <c r="G135"/>
      <c r="H135"/>
    </row>
    <row r="136" spans="7:8" x14ac:dyDescent="0.25">
      <c r="G136"/>
      <c r="H136"/>
    </row>
    <row r="137" spans="7:8" x14ac:dyDescent="0.25">
      <c r="G137"/>
      <c r="H137"/>
    </row>
    <row r="138" spans="7:8" x14ac:dyDescent="0.25">
      <c r="G138"/>
      <c r="H138"/>
    </row>
    <row r="139" spans="7:8" x14ac:dyDescent="0.25">
      <c r="G139"/>
      <c r="H139"/>
    </row>
    <row r="140" spans="7:8" x14ac:dyDescent="0.25">
      <c r="G140"/>
      <c r="H140"/>
    </row>
    <row r="141" spans="7:8" x14ac:dyDescent="0.25">
      <c r="G141"/>
      <c r="H141"/>
    </row>
    <row r="142" spans="7:8" x14ac:dyDescent="0.25">
      <c r="G142"/>
      <c r="H142"/>
    </row>
    <row r="143" spans="7:8" x14ac:dyDescent="0.25">
      <c r="G143"/>
      <c r="H143"/>
    </row>
    <row r="144" spans="7:8" x14ac:dyDescent="0.25">
      <c r="G144"/>
      <c r="H144"/>
    </row>
    <row r="145" spans="7:8" x14ac:dyDescent="0.25">
      <c r="G145"/>
      <c r="H145"/>
    </row>
    <row r="146" spans="7:8" x14ac:dyDescent="0.25">
      <c r="G146"/>
      <c r="H146"/>
    </row>
    <row r="147" spans="7:8" x14ac:dyDescent="0.25">
      <c r="G147"/>
      <c r="H147"/>
    </row>
    <row r="148" spans="7:8" x14ac:dyDescent="0.25">
      <c r="G148"/>
      <c r="H148"/>
    </row>
    <row r="149" spans="7:8" x14ac:dyDescent="0.25">
      <c r="G149"/>
      <c r="H149"/>
    </row>
    <row r="150" spans="7:8" x14ac:dyDescent="0.25">
      <c r="G150"/>
      <c r="H150"/>
    </row>
    <row r="151" spans="7:8" x14ac:dyDescent="0.25">
      <c r="G151"/>
      <c r="H151"/>
    </row>
    <row r="152" spans="7:8" x14ac:dyDescent="0.25">
      <c r="G152"/>
      <c r="H152"/>
    </row>
    <row r="153" spans="7:8" x14ac:dyDescent="0.25">
      <c r="G153"/>
      <c r="H153"/>
    </row>
    <row r="154" spans="7:8" x14ac:dyDescent="0.25">
      <c r="G154"/>
      <c r="H154"/>
    </row>
    <row r="155" spans="7:8" x14ac:dyDescent="0.25">
      <c r="G155"/>
      <c r="H155"/>
    </row>
    <row r="156" spans="7:8" x14ac:dyDescent="0.25">
      <c r="G156"/>
      <c r="H156"/>
    </row>
    <row r="157" spans="7:8" x14ac:dyDescent="0.25">
      <c r="G157"/>
      <c r="H157"/>
    </row>
    <row r="158" spans="7:8" x14ac:dyDescent="0.25">
      <c r="G158"/>
      <c r="H158"/>
    </row>
    <row r="159" spans="7:8" x14ac:dyDescent="0.25">
      <c r="G159"/>
      <c r="H159"/>
    </row>
    <row r="160" spans="7:8" x14ac:dyDescent="0.25">
      <c r="G160"/>
      <c r="H160"/>
    </row>
    <row r="161" spans="7:8" x14ac:dyDescent="0.25">
      <c r="G161"/>
      <c r="H161"/>
    </row>
    <row r="162" spans="7:8" x14ac:dyDescent="0.25">
      <c r="G162"/>
      <c r="H162"/>
    </row>
    <row r="163" spans="7:8" x14ac:dyDescent="0.25">
      <c r="G163"/>
      <c r="H163"/>
    </row>
    <row r="164" spans="7:8" x14ac:dyDescent="0.25">
      <c r="G164"/>
      <c r="H164"/>
    </row>
    <row r="165" spans="7:8" x14ac:dyDescent="0.25">
      <c r="G165"/>
      <c r="H165"/>
    </row>
    <row r="166" spans="7:8" x14ac:dyDescent="0.25">
      <c r="G166"/>
      <c r="H166"/>
    </row>
    <row r="167" spans="7:8" x14ac:dyDescent="0.25">
      <c r="G167"/>
      <c r="H167"/>
    </row>
    <row r="168" spans="7:8" x14ac:dyDescent="0.25">
      <c r="G168"/>
      <c r="H168"/>
    </row>
    <row r="169" spans="7:8" x14ac:dyDescent="0.25">
      <c r="G169"/>
      <c r="H169"/>
    </row>
    <row r="170" spans="7:8" x14ac:dyDescent="0.25">
      <c r="G170"/>
      <c r="H170"/>
    </row>
    <row r="171" spans="7:8" x14ac:dyDescent="0.25">
      <c r="G171"/>
      <c r="H171"/>
    </row>
    <row r="172" spans="7:8" x14ac:dyDescent="0.25">
      <c r="G172"/>
      <c r="H172"/>
    </row>
    <row r="173" spans="7:8" x14ac:dyDescent="0.25">
      <c r="G173"/>
      <c r="H173"/>
    </row>
    <row r="174" spans="7:8" x14ac:dyDescent="0.25">
      <c r="G174"/>
      <c r="H174"/>
    </row>
    <row r="175" spans="7:8" x14ac:dyDescent="0.25">
      <c r="G175"/>
      <c r="H175"/>
    </row>
    <row r="176" spans="7:8" x14ac:dyDescent="0.25">
      <c r="G176"/>
      <c r="H176"/>
    </row>
    <row r="177" spans="7:8" x14ac:dyDescent="0.25">
      <c r="G177"/>
      <c r="H177"/>
    </row>
    <row r="178" spans="7:8" x14ac:dyDescent="0.25">
      <c r="G178"/>
      <c r="H178"/>
    </row>
    <row r="179" spans="7:8" x14ac:dyDescent="0.25">
      <c r="G179"/>
      <c r="H179"/>
    </row>
    <row r="180" spans="7:8" x14ac:dyDescent="0.25">
      <c r="G180"/>
      <c r="H180"/>
    </row>
    <row r="181" spans="7:8" x14ac:dyDescent="0.25">
      <c r="G181"/>
      <c r="H181"/>
    </row>
    <row r="182" spans="7:8" x14ac:dyDescent="0.25">
      <c r="G182"/>
      <c r="H182"/>
    </row>
    <row r="183" spans="7:8" x14ac:dyDescent="0.25">
      <c r="G183"/>
      <c r="H183"/>
    </row>
    <row r="184" spans="7:8" x14ac:dyDescent="0.25">
      <c r="G184"/>
      <c r="H184"/>
    </row>
    <row r="185" spans="7:8" x14ac:dyDescent="0.25">
      <c r="G185"/>
      <c r="H185"/>
    </row>
    <row r="186" spans="7:8" x14ac:dyDescent="0.25">
      <c r="G186"/>
      <c r="H186"/>
    </row>
    <row r="187" spans="7:8" x14ac:dyDescent="0.25">
      <c r="G187"/>
      <c r="H187"/>
    </row>
    <row r="188" spans="7:8" x14ac:dyDescent="0.25">
      <c r="G188"/>
      <c r="H188"/>
    </row>
    <row r="189" spans="7:8" x14ac:dyDescent="0.25">
      <c r="G189"/>
      <c r="H189"/>
    </row>
    <row r="190" spans="7:8" x14ac:dyDescent="0.25">
      <c r="G190"/>
      <c r="H190"/>
    </row>
    <row r="191" spans="7:8" x14ac:dyDescent="0.25">
      <c r="G191"/>
      <c r="H191"/>
    </row>
    <row r="192" spans="7:8" x14ac:dyDescent="0.25">
      <c r="G192"/>
      <c r="H192"/>
    </row>
    <row r="193" spans="7:8" x14ac:dyDescent="0.25">
      <c r="G193"/>
      <c r="H193"/>
    </row>
    <row r="194" spans="7:8" x14ac:dyDescent="0.25">
      <c r="G194"/>
      <c r="H194"/>
    </row>
    <row r="195" spans="7:8" x14ac:dyDescent="0.25">
      <c r="G195"/>
      <c r="H195"/>
    </row>
    <row r="196" spans="7:8" x14ac:dyDescent="0.25">
      <c r="G196"/>
      <c r="H196"/>
    </row>
    <row r="197" spans="7:8" x14ac:dyDescent="0.25">
      <c r="G197"/>
      <c r="H197"/>
    </row>
    <row r="198" spans="7:8" x14ac:dyDescent="0.25">
      <c r="G198"/>
      <c r="H198"/>
    </row>
    <row r="199" spans="7:8" x14ac:dyDescent="0.25">
      <c r="G199"/>
      <c r="H199"/>
    </row>
    <row r="200" spans="7:8" x14ac:dyDescent="0.25">
      <c r="G200"/>
      <c r="H200"/>
    </row>
    <row r="201" spans="7:8" x14ac:dyDescent="0.25">
      <c r="G201"/>
      <c r="H201"/>
    </row>
    <row r="202" spans="7:8" x14ac:dyDescent="0.25">
      <c r="G202"/>
      <c r="H202"/>
    </row>
    <row r="203" spans="7:8" x14ac:dyDescent="0.25">
      <c r="G203"/>
      <c r="H203"/>
    </row>
    <row r="204" spans="7:8" x14ac:dyDescent="0.25">
      <c r="G204"/>
      <c r="H204"/>
    </row>
    <row r="205" spans="7:8" x14ac:dyDescent="0.25">
      <c r="G205"/>
      <c r="H205"/>
    </row>
    <row r="206" spans="7:8" x14ac:dyDescent="0.25">
      <c r="G206"/>
      <c r="H206"/>
    </row>
    <row r="207" spans="7:8" x14ac:dyDescent="0.25">
      <c r="G207"/>
      <c r="H207"/>
    </row>
    <row r="208" spans="7:8" x14ac:dyDescent="0.25">
      <c r="G208"/>
      <c r="H208"/>
    </row>
    <row r="209" spans="7:8" x14ac:dyDescent="0.25">
      <c r="G209"/>
      <c r="H209"/>
    </row>
    <row r="210" spans="7:8" x14ac:dyDescent="0.25">
      <c r="G210"/>
      <c r="H210"/>
    </row>
    <row r="211" spans="7:8" x14ac:dyDescent="0.25">
      <c r="G211"/>
      <c r="H211"/>
    </row>
    <row r="212" spans="7:8" x14ac:dyDescent="0.25">
      <c r="G212"/>
      <c r="H212"/>
    </row>
    <row r="213" spans="7:8" x14ac:dyDescent="0.25">
      <c r="G213"/>
      <c r="H213"/>
    </row>
    <row r="214" spans="7:8" x14ac:dyDescent="0.25">
      <c r="G214"/>
      <c r="H214"/>
    </row>
    <row r="215" spans="7:8" x14ac:dyDescent="0.25">
      <c r="G215"/>
      <c r="H215"/>
    </row>
    <row r="216" spans="7:8" x14ac:dyDescent="0.25">
      <c r="G216"/>
      <c r="H216"/>
    </row>
    <row r="217" spans="7:8" x14ac:dyDescent="0.25">
      <c r="G217"/>
      <c r="H217"/>
    </row>
    <row r="218" spans="7:8" x14ac:dyDescent="0.25">
      <c r="G218"/>
      <c r="H218"/>
    </row>
    <row r="219" spans="7:8" x14ac:dyDescent="0.25">
      <c r="G219"/>
      <c r="H219"/>
    </row>
    <row r="220" spans="7:8" x14ac:dyDescent="0.25">
      <c r="G220"/>
      <c r="H220"/>
    </row>
    <row r="221" spans="7:8" x14ac:dyDescent="0.25">
      <c r="G221"/>
      <c r="H221"/>
    </row>
    <row r="222" spans="7:8" x14ac:dyDescent="0.25">
      <c r="G222"/>
      <c r="H222"/>
    </row>
    <row r="223" spans="7:8" x14ac:dyDescent="0.25">
      <c r="G223"/>
      <c r="H223"/>
    </row>
    <row r="224" spans="7:8" x14ac:dyDescent="0.25">
      <c r="G224"/>
      <c r="H224"/>
    </row>
    <row r="225" spans="7:8" x14ac:dyDescent="0.25">
      <c r="G225"/>
      <c r="H225"/>
    </row>
    <row r="226" spans="7:8" x14ac:dyDescent="0.25">
      <c r="G226"/>
      <c r="H226"/>
    </row>
    <row r="227" spans="7:8" x14ac:dyDescent="0.25">
      <c r="G227"/>
      <c r="H227"/>
    </row>
    <row r="228" spans="7:8" x14ac:dyDescent="0.25">
      <c r="G228"/>
      <c r="H228"/>
    </row>
    <row r="229" spans="7:8" x14ac:dyDescent="0.25">
      <c r="G229"/>
      <c r="H229"/>
    </row>
    <row r="230" spans="7:8" x14ac:dyDescent="0.25">
      <c r="G230"/>
      <c r="H230"/>
    </row>
    <row r="231" spans="7:8" x14ac:dyDescent="0.25">
      <c r="G231"/>
      <c r="H231"/>
    </row>
    <row r="232" spans="7:8" x14ac:dyDescent="0.25">
      <c r="G232"/>
      <c r="H232"/>
    </row>
    <row r="233" spans="7:8" x14ac:dyDescent="0.25">
      <c r="G233"/>
      <c r="H233"/>
    </row>
    <row r="234" spans="7:8" x14ac:dyDescent="0.25">
      <c r="G234"/>
      <c r="H234"/>
    </row>
    <row r="235" spans="7:8" x14ac:dyDescent="0.25">
      <c r="G235"/>
      <c r="H235"/>
    </row>
    <row r="236" spans="7:8" x14ac:dyDescent="0.25">
      <c r="G236"/>
      <c r="H236"/>
    </row>
    <row r="237" spans="7:8" x14ac:dyDescent="0.25">
      <c r="G237"/>
      <c r="H237"/>
    </row>
    <row r="238" spans="7:8" x14ac:dyDescent="0.25">
      <c r="G238"/>
      <c r="H238"/>
    </row>
    <row r="239" spans="7:8" x14ac:dyDescent="0.25">
      <c r="G239"/>
      <c r="H239"/>
    </row>
    <row r="240" spans="7:8" x14ac:dyDescent="0.25">
      <c r="G240"/>
      <c r="H240"/>
    </row>
    <row r="241" spans="7:8" x14ac:dyDescent="0.25">
      <c r="G241"/>
      <c r="H241"/>
    </row>
    <row r="242" spans="7:8" x14ac:dyDescent="0.25">
      <c r="G242"/>
      <c r="H242"/>
    </row>
    <row r="243" spans="7:8" x14ac:dyDescent="0.25">
      <c r="G243"/>
      <c r="H243"/>
    </row>
    <row r="244" spans="7:8" x14ac:dyDescent="0.25">
      <c r="G244"/>
      <c r="H244"/>
    </row>
    <row r="245" spans="7:8" x14ac:dyDescent="0.25">
      <c r="G245"/>
      <c r="H245"/>
    </row>
    <row r="246" spans="7:8" x14ac:dyDescent="0.25">
      <c r="G246"/>
      <c r="H246"/>
    </row>
    <row r="247" spans="7:8" x14ac:dyDescent="0.25">
      <c r="G247"/>
      <c r="H247"/>
    </row>
    <row r="248" spans="7:8" x14ac:dyDescent="0.25">
      <c r="G248"/>
      <c r="H248"/>
    </row>
    <row r="249" spans="7:8" x14ac:dyDescent="0.25">
      <c r="G249"/>
      <c r="H249"/>
    </row>
    <row r="250" spans="7:8" x14ac:dyDescent="0.25">
      <c r="G250"/>
      <c r="H250"/>
    </row>
    <row r="251" spans="7:8" x14ac:dyDescent="0.25">
      <c r="G251"/>
      <c r="H251"/>
    </row>
    <row r="252" spans="7:8" x14ac:dyDescent="0.25">
      <c r="G252"/>
      <c r="H252"/>
    </row>
    <row r="253" spans="7:8" x14ac:dyDescent="0.25">
      <c r="G253"/>
      <c r="H253"/>
    </row>
    <row r="254" spans="7:8" x14ac:dyDescent="0.25">
      <c r="G254"/>
      <c r="H254"/>
    </row>
    <row r="255" spans="7:8" x14ac:dyDescent="0.25">
      <c r="G255"/>
      <c r="H255"/>
    </row>
    <row r="256" spans="7:8" x14ac:dyDescent="0.25">
      <c r="G256"/>
      <c r="H256"/>
    </row>
    <row r="257" spans="7:8" x14ac:dyDescent="0.25">
      <c r="G257"/>
      <c r="H257"/>
    </row>
    <row r="258" spans="7:8" x14ac:dyDescent="0.25">
      <c r="G258"/>
      <c r="H258"/>
    </row>
    <row r="259" spans="7:8" x14ac:dyDescent="0.25">
      <c r="G259"/>
      <c r="H259"/>
    </row>
    <row r="260" spans="7:8" x14ac:dyDescent="0.25">
      <c r="G260"/>
      <c r="H260"/>
    </row>
    <row r="261" spans="7:8" x14ac:dyDescent="0.25">
      <c r="G261"/>
      <c r="H261"/>
    </row>
    <row r="262" spans="7:8" x14ac:dyDescent="0.25">
      <c r="G262"/>
      <c r="H262"/>
    </row>
    <row r="263" spans="7:8" x14ac:dyDescent="0.25">
      <c r="G263"/>
      <c r="H263"/>
    </row>
    <row r="264" spans="7:8" x14ac:dyDescent="0.25">
      <c r="G264"/>
      <c r="H264"/>
    </row>
    <row r="265" spans="7:8" x14ac:dyDescent="0.25">
      <c r="G265"/>
      <c r="H265"/>
    </row>
    <row r="266" spans="7:8" x14ac:dyDescent="0.25">
      <c r="G266"/>
      <c r="H266"/>
    </row>
    <row r="267" spans="7:8" x14ac:dyDescent="0.25">
      <c r="G267"/>
      <c r="H267"/>
    </row>
    <row r="268" spans="7:8" x14ac:dyDescent="0.25">
      <c r="G268"/>
      <c r="H268"/>
    </row>
    <row r="269" spans="7:8" x14ac:dyDescent="0.25">
      <c r="G269"/>
      <c r="H269"/>
    </row>
    <row r="270" spans="7:8" x14ac:dyDescent="0.25">
      <c r="G270"/>
      <c r="H270"/>
    </row>
    <row r="271" spans="7:8" x14ac:dyDescent="0.25">
      <c r="G271"/>
      <c r="H271"/>
    </row>
    <row r="272" spans="7:8" x14ac:dyDescent="0.25">
      <c r="G272"/>
      <c r="H272"/>
    </row>
    <row r="273" spans="7:8" x14ac:dyDescent="0.25">
      <c r="G273"/>
      <c r="H273"/>
    </row>
    <row r="274" spans="7:8" x14ac:dyDescent="0.25">
      <c r="G274"/>
      <c r="H274"/>
    </row>
    <row r="275" spans="7:8" x14ac:dyDescent="0.25">
      <c r="G275"/>
      <c r="H275"/>
    </row>
    <row r="276" spans="7:8" x14ac:dyDescent="0.25">
      <c r="G276"/>
      <c r="H276"/>
    </row>
    <row r="277" spans="7:8" x14ac:dyDescent="0.25">
      <c r="G277"/>
      <c r="H277"/>
    </row>
    <row r="278" spans="7:8" x14ac:dyDescent="0.25">
      <c r="G278"/>
      <c r="H278"/>
    </row>
    <row r="279" spans="7:8" x14ac:dyDescent="0.25">
      <c r="G279"/>
      <c r="H279"/>
    </row>
    <row r="280" spans="7:8" x14ac:dyDescent="0.25">
      <c r="G280"/>
      <c r="H280"/>
    </row>
    <row r="281" spans="7:8" x14ac:dyDescent="0.25">
      <c r="G281"/>
      <c r="H281"/>
    </row>
    <row r="282" spans="7:8" x14ac:dyDescent="0.25">
      <c r="G282"/>
      <c r="H282"/>
    </row>
    <row r="283" spans="7:8" x14ac:dyDescent="0.25">
      <c r="G283"/>
      <c r="H283"/>
    </row>
    <row r="284" spans="7:8" x14ac:dyDescent="0.25">
      <c r="G284"/>
      <c r="H284"/>
    </row>
    <row r="285" spans="7:8" x14ac:dyDescent="0.25">
      <c r="G285"/>
      <c r="H285"/>
    </row>
    <row r="286" spans="7:8" x14ac:dyDescent="0.25">
      <c r="G286"/>
      <c r="H286"/>
    </row>
    <row r="287" spans="7:8" x14ac:dyDescent="0.25">
      <c r="G287"/>
      <c r="H287"/>
    </row>
    <row r="288" spans="7:8" x14ac:dyDescent="0.25">
      <c r="G288"/>
      <c r="H288"/>
    </row>
    <row r="289" spans="7:8" x14ac:dyDescent="0.25">
      <c r="G289"/>
      <c r="H289"/>
    </row>
    <row r="290" spans="7:8" x14ac:dyDescent="0.25">
      <c r="G290"/>
      <c r="H290"/>
    </row>
    <row r="291" spans="7:8" x14ac:dyDescent="0.25">
      <c r="G291"/>
      <c r="H291"/>
    </row>
    <row r="292" spans="7:8" x14ac:dyDescent="0.25">
      <c r="G292"/>
      <c r="H292"/>
    </row>
    <row r="293" spans="7:8" x14ac:dyDescent="0.25">
      <c r="G293"/>
      <c r="H293"/>
    </row>
    <row r="294" spans="7:8" x14ac:dyDescent="0.25">
      <c r="G294"/>
      <c r="H294"/>
    </row>
    <row r="295" spans="7:8" x14ac:dyDescent="0.25">
      <c r="G295"/>
      <c r="H295"/>
    </row>
    <row r="296" spans="7:8" x14ac:dyDescent="0.25">
      <c r="G296"/>
      <c r="H296"/>
    </row>
    <row r="297" spans="7:8" x14ac:dyDescent="0.25">
      <c r="G297"/>
      <c r="H297"/>
    </row>
    <row r="298" spans="7:8" x14ac:dyDescent="0.25">
      <c r="G298"/>
      <c r="H298"/>
    </row>
    <row r="299" spans="7:8" x14ac:dyDescent="0.25">
      <c r="G299"/>
      <c r="H299"/>
    </row>
    <row r="300" spans="7:8" x14ac:dyDescent="0.25">
      <c r="G300"/>
      <c r="H300"/>
    </row>
    <row r="301" spans="7:8" x14ac:dyDescent="0.25">
      <c r="G301"/>
      <c r="H301"/>
    </row>
    <row r="302" spans="7:8" x14ac:dyDescent="0.25">
      <c r="G302"/>
      <c r="H302"/>
    </row>
    <row r="303" spans="7:8" x14ac:dyDescent="0.25">
      <c r="G303"/>
      <c r="H303"/>
    </row>
    <row r="304" spans="7:8" x14ac:dyDescent="0.25">
      <c r="G304"/>
      <c r="H304"/>
    </row>
    <row r="305" spans="7:8" x14ac:dyDescent="0.25">
      <c r="G305"/>
      <c r="H305"/>
    </row>
    <row r="306" spans="7:8" x14ac:dyDescent="0.25">
      <c r="G306"/>
      <c r="H306"/>
    </row>
    <row r="307" spans="7:8" x14ac:dyDescent="0.25">
      <c r="G307"/>
      <c r="H307"/>
    </row>
    <row r="308" spans="7:8" x14ac:dyDescent="0.25">
      <c r="G308"/>
      <c r="H308"/>
    </row>
    <row r="309" spans="7:8" x14ac:dyDescent="0.25">
      <c r="G309"/>
      <c r="H309"/>
    </row>
    <row r="310" spans="7:8" x14ac:dyDescent="0.25">
      <c r="G310"/>
      <c r="H310"/>
    </row>
    <row r="311" spans="7:8" x14ac:dyDescent="0.25">
      <c r="G311"/>
      <c r="H311"/>
    </row>
    <row r="312" spans="7:8" x14ac:dyDescent="0.25">
      <c r="G312"/>
      <c r="H312"/>
    </row>
    <row r="313" spans="7:8" x14ac:dyDescent="0.25">
      <c r="G313"/>
      <c r="H313"/>
    </row>
    <row r="314" spans="7:8" x14ac:dyDescent="0.25">
      <c r="G314"/>
      <c r="H314"/>
    </row>
    <row r="315" spans="7:8" x14ac:dyDescent="0.25">
      <c r="G315"/>
      <c r="H315"/>
    </row>
    <row r="316" spans="7:8" x14ac:dyDescent="0.25">
      <c r="G316"/>
      <c r="H316"/>
    </row>
    <row r="317" spans="7:8" x14ac:dyDescent="0.25">
      <c r="G317"/>
      <c r="H317"/>
    </row>
    <row r="318" spans="7:8" x14ac:dyDescent="0.25">
      <c r="G318"/>
      <c r="H318"/>
    </row>
    <row r="319" spans="7:8" x14ac:dyDescent="0.25">
      <c r="G319"/>
      <c r="H319"/>
    </row>
    <row r="320" spans="7:8" x14ac:dyDescent="0.25">
      <c r="G320"/>
      <c r="H320"/>
    </row>
    <row r="321" spans="7:8" x14ac:dyDescent="0.25">
      <c r="G321"/>
      <c r="H321"/>
    </row>
    <row r="322" spans="7:8" x14ac:dyDescent="0.25">
      <c r="G322"/>
      <c r="H322"/>
    </row>
    <row r="323" spans="7:8" x14ac:dyDescent="0.25">
      <c r="G323"/>
      <c r="H323"/>
    </row>
    <row r="324" spans="7:8" x14ac:dyDescent="0.25">
      <c r="G324"/>
      <c r="H324"/>
    </row>
    <row r="325" spans="7:8" x14ac:dyDescent="0.25">
      <c r="G325"/>
      <c r="H325"/>
    </row>
    <row r="326" spans="7:8" x14ac:dyDescent="0.25">
      <c r="G326"/>
      <c r="H326"/>
    </row>
    <row r="327" spans="7:8" x14ac:dyDescent="0.25">
      <c r="G327"/>
      <c r="H327"/>
    </row>
    <row r="328" spans="7:8" x14ac:dyDescent="0.25">
      <c r="G328"/>
      <c r="H328"/>
    </row>
    <row r="329" spans="7:8" x14ac:dyDescent="0.25">
      <c r="G329"/>
      <c r="H329"/>
    </row>
    <row r="330" spans="7:8" x14ac:dyDescent="0.25">
      <c r="G330"/>
      <c r="H330"/>
    </row>
    <row r="331" spans="7:8" x14ac:dyDescent="0.25">
      <c r="G331"/>
      <c r="H331"/>
    </row>
    <row r="332" spans="7:8" x14ac:dyDescent="0.25">
      <c r="G332"/>
      <c r="H332"/>
    </row>
    <row r="333" spans="7:8" x14ac:dyDescent="0.25">
      <c r="G333"/>
      <c r="H333"/>
    </row>
    <row r="334" spans="7:8" x14ac:dyDescent="0.25">
      <c r="G334"/>
      <c r="H334"/>
    </row>
    <row r="335" spans="7:8" x14ac:dyDescent="0.25">
      <c r="G335"/>
      <c r="H335"/>
    </row>
    <row r="336" spans="7:8" x14ac:dyDescent="0.25">
      <c r="G336"/>
      <c r="H336"/>
    </row>
    <row r="337" spans="7:8" x14ac:dyDescent="0.25">
      <c r="G337"/>
      <c r="H337"/>
    </row>
    <row r="338" spans="7:8" x14ac:dyDescent="0.25">
      <c r="G338"/>
      <c r="H338"/>
    </row>
    <row r="339" spans="7:8" x14ac:dyDescent="0.25">
      <c r="G339"/>
      <c r="H339"/>
    </row>
    <row r="340" spans="7:8" x14ac:dyDescent="0.25">
      <c r="G340"/>
      <c r="H340"/>
    </row>
    <row r="341" spans="7:8" x14ac:dyDescent="0.25">
      <c r="G341"/>
      <c r="H341"/>
    </row>
    <row r="342" spans="7:8" x14ac:dyDescent="0.25">
      <c r="G342"/>
      <c r="H342"/>
    </row>
    <row r="343" spans="7:8" x14ac:dyDescent="0.25">
      <c r="G343"/>
      <c r="H343"/>
    </row>
    <row r="344" spans="7:8" x14ac:dyDescent="0.25">
      <c r="G344"/>
      <c r="H344"/>
    </row>
    <row r="345" spans="7:8" x14ac:dyDescent="0.25">
      <c r="G345"/>
      <c r="H345"/>
    </row>
    <row r="346" spans="7:8" x14ac:dyDescent="0.25">
      <c r="G346"/>
      <c r="H346"/>
    </row>
    <row r="347" spans="7:8" x14ac:dyDescent="0.25">
      <c r="G347"/>
      <c r="H347"/>
    </row>
    <row r="348" spans="7:8" x14ac:dyDescent="0.25">
      <c r="G348"/>
      <c r="H348"/>
    </row>
    <row r="349" spans="7:8" x14ac:dyDescent="0.25">
      <c r="G349"/>
      <c r="H349"/>
    </row>
    <row r="350" spans="7:8" x14ac:dyDescent="0.25">
      <c r="G350"/>
      <c r="H350"/>
    </row>
    <row r="351" spans="7:8" x14ac:dyDescent="0.25">
      <c r="G351"/>
      <c r="H351"/>
    </row>
    <row r="352" spans="7:8" x14ac:dyDescent="0.25">
      <c r="G352"/>
      <c r="H352"/>
    </row>
    <row r="353" spans="7:8" x14ac:dyDescent="0.25">
      <c r="G353"/>
      <c r="H353"/>
    </row>
    <row r="354" spans="7:8" x14ac:dyDescent="0.25">
      <c r="G354"/>
      <c r="H354"/>
    </row>
    <row r="355" spans="7:8" x14ac:dyDescent="0.25">
      <c r="G355"/>
      <c r="H355"/>
    </row>
    <row r="356" spans="7:8" x14ac:dyDescent="0.25">
      <c r="G356"/>
      <c r="H356"/>
    </row>
    <row r="357" spans="7:8" x14ac:dyDescent="0.25">
      <c r="G357"/>
      <c r="H357"/>
    </row>
    <row r="358" spans="7:8" x14ac:dyDescent="0.25">
      <c r="G358"/>
      <c r="H358"/>
    </row>
    <row r="359" spans="7:8" x14ac:dyDescent="0.25">
      <c r="G359"/>
      <c r="H359"/>
    </row>
    <row r="360" spans="7:8" x14ac:dyDescent="0.25">
      <c r="G360"/>
      <c r="H360"/>
    </row>
    <row r="361" spans="7:8" x14ac:dyDescent="0.25">
      <c r="G361"/>
      <c r="H361"/>
    </row>
    <row r="362" spans="7:8" x14ac:dyDescent="0.25">
      <c r="G362"/>
      <c r="H362"/>
    </row>
    <row r="363" spans="7:8" x14ac:dyDescent="0.25">
      <c r="G363"/>
      <c r="H363"/>
    </row>
    <row r="364" spans="7:8" x14ac:dyDescent="0.25">
      <c r="G364"/>
      <c r="H364"/>
    </row>
    <row r="365" spans="7:8" x14ac:dyDescent="0.25">
      <c r="G365"/>
      <c r="H365"/>
    </row>
    <row r="366" spans="7:8" x14ac:dyDescent="0.25">
      <c r="G366"/>
      <c r="H366"/>
    </row>
    <row r="367" spans="7:8" x14ac:dyDescent="0.25">
      <c r="G367"/>
      <c r="H367"/>
    </row>
    <row r="368" spans="7:8" x14ac:dyDescent="0.25">
      <c r="G368"/>
      <c r="H368"/>
    </row>
    <row r="369" spans="7:8" x14ac:dyDescent="0.25">
      <c r="G369"/>
      <c r="H369"/>
    </row>
    <row r="370" spans="7:8" x14ac:dyDescent="0.25">
      <c r="G370"/>
      <c r="H370"/>
    </row>
    <row r="371" spans="7:8" x14ac:dyDescent="0.25">
      <c r="G371"/>
      <c r="H371"/>
    </row>
    <row r="372" spans="7:8" x14ac:dyDescent="0.25">
      <c r="G372"/>
      <c r="H372"/>
    </row>
    <row r="373" spans="7:8" x14ac:dyDescent="0.25">
      <c r="G373"/>
      <c r="H373"/>
    </row>
    <row r="374" spans="7:8" x14ac:dyDescent="0.25">
      <c r="G374"/>
      <c r="H374"/>
    </row>
    <row r="375" spans="7:8" x14ac:dyDescent="0.25">
      <c r="G375"/>
      <c r="H375"/>
    </row>
    <row r="376" spans="7:8" x14ac:dyDescent="0.25">
      <c r="G376"/>
      <c r="H376"/>
    </row>
    <row r="377" spans="7:8" x14ac:dyDescent="0.25">
      <c r="G377"/>
      <c r="H377"/>
    </row>
    <row r="378" spans="7:8" x14ac:dyDescent="0.25">
      <c r="G378"/>
      <c r="H378"/>
    </row>
    <row r="379" spans="7:8" x14ac:dyDescent="0.25">
      <c r="G379"/>
      <c r="H379"/>
    </row>
    <row r="380" spans="7:8" x14ac:dyDescent="0.25">
      <c r="G380"/>
      <c r="H380"/>
    </row>
    <row r="381" spans="7:8" x14ac:dyDescent="0.25">
      <c r="G381"/>
      <c r="H381"/>
    </row>
    <row r="382" spans="7:8" x14ac:dyDescent="0.25">
      <c r="G382"/>
      <c r="H382"/>
    </row>
    <row r="383" spans="7:8" x14ac:dyDescent="0.25">
      <c r="G383"/>
      <c r="H383"/>
    </row>
    <row r="384" spans="7:8" x14ac:dyDescent="0.25">
      <c r="G384"/>
      <c r="H384"/>
    </row>
    <row r="385" spans="7:8" x14ac:dyDescent="0.25">
      <c r="G385"/>
      <c r="H385"/>
    </row>
    <row r="386" spans="7:8" x14ac:dyDescent="0.25">
      <c r="G386"/>
      <c r="H386"/>
    </row>
    <row r="387" spans="7:8" x14ac:dyDescent="0.25">
      <c r="G387"/>
      <c r="H387"/>
    </row>
    <row r="388" spans="7:8" x14ac:dyDescent="0.25">
      <c r="G388"/>
      <c r="H388"/>
    </row>
    <row r="389" spans="7:8" x14ac:dyDescent="0.25">
      <c r="G389"/>
      <c r="H389"/>
    </row>
    <row r="390" spans="7:8" x14ac:dyDescent="0.25">
      <c r="G390"/>
      <c r="H390"/>
    </row>
    <row r="391" spans="7:8" x14ac:dyDescent="0.25">
      <c r="G391"/>
      <c r="H391"/>
    </row>
    <row r="392" spans="7:8" x14ac:dyDescent="0.25">
      <c r="G392"/>
      <c r="H392"/>
    </row>
    <row r="393" spans="7:8" x14ac:dyDescent="0.25">
      <c r="G393"/>
      <c r="H393"/>
    </row>
    <row r="394" spans="7:8" x14ac:dyDescent="0.25">
      <c r="G394"/>
      <c r="H394"/>
    </row>
    <row r="395" spans="7:8" x14ac:dyDescent="0.25">
      <c r="G395"/>
      <c r="H395"/>
    </row>
    <row r="396" spans="7:8" x14ac:dyDescent="0.25">
      <c r="G396"/>
      <c r="H396"/>
    </row>
    <row r="397" spans="7:8" x14ac:dyDescent="0.25">
      <c r="G397"/>
      <c r="H397"/>
    </row>
    <row r="398" spans="7:8" x14ac:dyDescent="0.25">
      <c r="G398"/>
      <c r="H398"/>
    </row>
    <row r="399" spans="7:8" x14ac:dyDescent="0.25">
      <c r="G399"/>
      <c r="H399"/>
    </row>
    <row r="400" spans="7:8" x14ac:dyDescent="0.25">
      <c r="G400"/>
      <c r="H400"/>
    </row>
    <row r="401" spans="7:8" x14ac:dyDescent="0.25">
      <c r="G401"/>
      <c r="H401"/>
    </row>
    <row r="402" spans="7:8" x14ac:dyDescent="0.25">
      <c r="G402"/>
      <c r="H402"/>
    </row>
    <row r="403" spans="7:8" x14ac:dyDescent="0.25">
      <c r="G403"/>
      <c r="H403"/>
    </row>
    <row r="404" spans="7:8" x14ac:dyDescent="0.25">
      <c r="G404"/>
      <c r="H404"/>
    </row>
    <row r="405" spans="7:8" x14ac:dyDescent="0.25">
      <c r="G405"/>
      <c r="H405"/>
    </row>
    <row r="406" spans="7:8" x14ac:dyDescent="0.25">
      <c r="G406"/>
      <c r="H406"/>
    </row>
    <row r="407" spans="7:8" x14ac:dyDescent="0.25">
      <c r="G407"/>
      <c r="H407"/>
    </row>
    <row r="408" spans="7:8" x14ac:dyDescent="0.25">
      <c r="G408"/>
      <c r="H408"/>
    </row>
    <row r="409" spans="7:8" x14ac:dyDescent="0.25">
      <c r="G409"/>
      <c r="H4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6121-5C3E-4F77-A084-B88EC22A346C}">
  <dimension ref="A1:H18"/>
  <sheetViews>
    <sheetView workbookViewId="0">
      <selection activeCell="E1" sqref="E1"/>
    </sheetView>
  </sheetViews>
  <sheetFormatPr defaultRowHeight="15" x14ac:dyDescent="0.25"/>
  <cols>
    <col min="1" max="1" width="17" customWidth="1"/>
    <col min="2" max="2" width="17.28515625" customWidth="1"/>
    <col min="3" max="3" width="19.28515625" customWidth="1"/>
    <col min="4" max="4" width="21.28515625" customWidth="1"/>
    <col min="5" max="5" width="17.7109375" customWidth="1"/>
    <col min="6" max="6" width="19" customWidth="1"/>
  </cols>
  <sheetData>
    <row r="1" spans="1:8" ht="60" x14ac:dyDescent="0.25">
      <c r="A1" s="20" t="s">
        <v>22</v>
      </c>
      <c r="B1" s="20" t="s">
        <v>42</v>
      </c>
      <c r="C1" s="20" t="s">
        <v>43</v>
      </c>
      <c r="D1" s="20" t="s">
        <v>44</v>
      </c>
      <c r="E1" s="20" t="s">
        <v>45</v>
      </c>
      <c r="F1" s="20" t="s">
        <v>46</v>
      </c>
      <c r="G1" s="20"/>
      <c r="H1" s="20"/>
    </row>
    <row r="2" spans="1:8" x14ac:dyDescent="0.25">
      <c r="A2">
        <f>Sheet2!A2</f>
        <v>0</v>
      </c>
      <c r="B2">
        <f>Sheet2!F2</f>
        <v>28819136.056227703</v>
      </c>
      <c r="C2">
        <f>Sheet2!G2</f>
        <v>2402925.9456467833</v>
      </c>
      <c r="D2">
        <f>Sheet2!H2</f>
        <v>31222062.001874484</v>
      </c>
      <c r="E2">
        <f>Sheet2!I2</f>
        <v>0</v>
      </c>
      <c r="F2">
        <f>Sheet2!J2</f>
        <v>0</v>
      </c>
    </row>
    <row r="3" spans="1:8" x14ac:dyDescent="0.25">
      <c r="A3">
        <f>Sheet2!A3</f>
        <v>5</v>
      </c>
      <c r="B3">
        <f>Sheet2!F3</f>
        <v>28196770.970203433</v>
      </c>
      <c r="C3">
        <f>Sheet2!G3</f>
        <v>2405730.1206467832</v>
      </c>
      <c r="D3">
        <f>Sheet2!H3</f>
        <v>30602501.090850215</v>
      </c>
      <c r="E3">
        <f>Sheet2!I3</f>
        <v>2.1595549735078845</v>
      </c>
      <c r="F3">
        <f>Sheet2!J3</f>
        <v>1.9843689727701908</v>
      </c>
    </row>
    <row r="4" spans="1:8" x14ac:dyDescent="0.25">
      <c r="A4">
        <f>Sheet2!A4</f>
        <v>10</v>
      </c>
      <c r="B4">
        <f>Sheet2!F4</f>
        <v>27574405.884179164</v>
      </c>
      <c r="C4">
        <f>Sheet2!G4</f>
        <v>2408534.295646783</v>
      </c>
      <c r="D4">
        <f>Sheet2!H4</f>
        <v>29982940.179825947</v>
      </c>
      <c r="E4">
        <f>Sheet2!I4</f>
        <v>4.319109947015769</v>
      </c>
      <c r="F4">
        <f>Sheet2!J4</f>
        <v>3.9687379455403815</v>
      </c>
    </row>
    <row r="5" spans="1:8" x14ac:dyDescent="0.25">
      <c r="A5">
        <f>Sheet2!A5</f>
        <v>15</v>
      </c>
      <c r="B5">
        <f>Sheet2!F5</f>
        <v>26923751.476062875</v>
      </c>
      <c r="C5">
        <f>Sheet2!G5</f>
        <v>2411465.9331467832</v>
      </c>
      <c r="D5">
        <f>Sheet2!H5</f>
        <v>29335217.409209657</v>
      </c>
      <c r="E5">
        <f>Sheet2!I5</f>
        <v>6.5768265102285826</v>
      </c>
      <c r="F5">
        <f>Sheet2!J5</f>
        <v>6.0433055079819704</v>
      </c>
    </row>
    <row r="6" spans="1:8" x14ac:dyDescent="0.25">
      <c r="A6">
        <f>Sheet2!A6</f>
        <v>20</v>
      </c>
      <c r="B6">
        <f>Sheet2!F6</f>
        <v>26301386.390038606</v>
      </c>
      <c r="C6">
        <f>Sheet2!G6</f>
        <v>2414270.108146783</v>
      </c>
      <c r="D6">
        <f>Sheet2!H6</f>
        <v>28715656.498185389</v>
      </c>
      <c r="E6">
        <f>Sheet2!I6</f>
        <v>8.7363814837364657</v>
      </c>
      <c r="F6">
        <f>Sheet2!J6</f>
        <v>8.0276744807521609</v>
      </c>
    </row>
    <row r="7" spans="1:8" x14ac:dyDescent="0.25">
      <c r="A7">
        <f>Sheet2!A7</f>
        <v>25</v>
      </c>
      <c r="B7">
        <f>Sheet2!F7</f>
        <v>25679021.304014333</v>
      </c>
      <c r="C7">
        <f>Sheet2!G7</f>
        <v>2417074.2831467828</v>
      </c>
      <c r="D7">
        <f>Sheet2!H7</f>
        <v>28096095.587161116</v>
      </c>
      <c r="E7">
        <f>Sheet2!I7</f>
        <v>10.895936457244366</v>
      </c>
      <c r="F7">
        <f>Sheet2!J7</f>
        <v>10.012043453522363</v>
      </c>
    </row>
    <row r="8" spans="1:8" x14ac:dyDescent="0.25">
      <c r="A8">
        <f>Sheet2!A8</f>
        <v>30</v>
      </c>
      <c r="B8">
        <f>Sheet2!F8</f>
        <v>25028366.895898052</v>
      </c>
      <c r="C8">
        <f>Sheet2!G8</f>
        <v>2420005.920646783</v>
      </c>
      <c r="D8">
        <f>Sheet2!H8</f>
        <v>27448372.816544835</v>
      </c>
      <c r="E8">
        <f>Sheet2!I8</f>
        <v>13.153653020457151</v>
      </c>
      <c r="F8">
        <f>Sheet2!J8</f>
        <v>12.08661101596393</v>
      </c>
    </row>
    <row r="9" spans="1:8" x14ac:dyDescent="0.25">
      <c r="A9">
        <f>Sheet2!A9</f>
        <v>35</v>
      </c>
      <c r="B9">
        <f>Sheet2!F9</f>
        <v>24406001.809873775</v>
      </c>
      <c r="C9">
        <f>Sheet2!G9</f>
        <v>2422810.0956467828</v>
      </c>
      <c r="D9">
        <f>Sheet2!H9</f>
        <v>26828811.905520558</v>
      </c>
      <c r="E9">
        <f>Sheet2!I9</f>
        <v>15.313207993965062</v>
      </c>
      <c r="F9">
        <f>Sheet2!J9</f>
        <v>14.070979988734145</v>
      </c>
    </row>
    <row r="10" spans="1:8" x14ac:dyDescent="0.25">
      <c r="A10">
        <f>Sheet2!A10</f>
        <v>40</v>
      </c>
      <c r="B10">
        <f>Sheet2!F10</f>
        <v>23783636.723849509</v>
      </c>
      <c r="C10">
        <f>Sheet2!G10</f>
        <v>2425614.2706467835</v>
      </c>
      <c r="D10">
        <f>Sheet2!H10</f>
        <v>26209250.994496293</v>
      </c>
      <c r="E10">
        <f>Sheet2!I10</f>
        <v>17.472762967472931</v>
      </c>
      <c r="F10">
        <f>Sheet2!J10</f>
        <v>16.055348961504322</v>
      </c>
    </row>
    <row r="11" spans="1:8" x14ac:dyDescent="0.25">
      <c r="A11">
        <f>Sheet2!A11</f>
        <v>45</v>
      </c>
      <c r="B11">
        <f>Sheet2!F11</f>
        <v>23132982.31573322</v>
      </c>
      <c r="C11">
        <f>Sheet2!G11</f>
        <v>2428545.9081467828</v>
      </c>
      <c r="D11">
        <f>Sheet2!H11</f>
        <v>25561528.223880004</v>
      </c>
      <c r="E11">
        <f>Sheet2!I11</f>
        <v>19.730479530685745</v>
      </c>
      <c r="F11">
        <f>Sheet2!J11</f>
        <v>18.129916523945912</v>
      </c>
    </row>
    <row r="12" spans="1:8" x14ac:dyDescent="0.25">
      <c r="A12">
        <f>Sheet2!A12</f>
        <v>50</v>
      </c>
      <c r="B12">
        <f>Sheet2!F12</f>
        <v>22510617.229708951</v>
      </c>
      <c r="C12">
        <f>Sheet2!G12</f>
        <v>2431350.0831467835</v>
      </c>
      <c r="D12">
        <f>Sheet2!H12</f>
        <v>24941967.312855735</v>
      </c>
      <c r="E12">
        <f>Sheet2!I12</f>
        <v>21.890034504193633</v>
      </c>
      <c r="F12">
        <f>Sheet2!J12</f>
        <v>20.114285496716104</v>
      </c>
    </row>
    <row r="13" spans="1:8" x14ac:dyDescent="0.25">
      <c r="A13">
        <f>Sheet2!A13</f>
        <v>55.000000000000007</v>
      </c>
      <c r="B13">
        <f>Sheet2!F13</f>
        <v>21888252.143684678</v>
      </c>
      <c r="C13">
        <f>Sheet2!G13</f>
        <v>2434154.2581467833</v>
      </c>
      <c r="D13">
        <f>Sheet2!H13</f>
        <v>24322406.401831463</v>
      </c>
      <c r="E13">
        <f>Sheet2!I13</f>
        <v>24.049589477701527</v>
      </c>
      <c r="F13">
        <f>Sheet2!J13</f>
        <v>22.098654469486306</v>
      </c>
    </row>
    <row r="14" spans="1:8" x14ac:dyDescent="0.25">
      <c r="A14">
        <f>Sheet2!A14</f>
        <v>60</v>
      </c>
      <c r="B14">
        <f>Sheet2!F14</f>
        <v>21237597.735568393</v>
      </c>
      <c r="C14">
        <f>Sheet2!G14</f>
        <v>2437085.8956467835</v>
      </c>
      <c r="D14">
        <f>Sheet2!H14</f>
        <v>23674683.631215177</v>
      </c>
      <c r="E14">
        <f>Sheet2!I14</f>
        <v>26.30730604091433</v>
      </c>
      <c r="F14">
        <f>Sheet2!J14</f>
        <v>24.173222031927882</v>
      </c>
    </row>
    <row r="15" spans="1:8" x14ac:dyDescent="0.25">
      <c r="A15">
        <f>Sheet2!A15</f>
        <v>65</v>
      </c>
      <c r="B15">
        <f>Sheet2!F15</f>
        <v>20615232.649544124</v>
      </c>
      <c r="C15">
        <f>Sheet2!G15</f>
        <v>2439890.0706467833</v>
      </c>
      <c r="D15">
        <f>Sheet2!H15</f>
        <v>23055122.720190905</v>
      </c>
      <c r="E15">
        <f>Sheet2!I15</f>
        <v>28.466861014422211</v>
      </c>
      <c r="F15">
        <f>Sheet2!J15</f>
        <v>26.157591004698084</v>
      </c>
    </row>
    <row r="16" spans="1:8" x14ac:dyDescent="0.25">
      <c r="A16">
        <f>Sheet2!A16</f>
        <v>70</v>
      </c>
      <c r="B16">
        <f>Sheet2!F16</f>
        <v>19992867.563519847</v>
      </c>
      <c r="C16">
        <f>Sheet2!G16</f>
        <v>2442694.2456467832</v>
      </c>
      <c r="D16">
        <f>Sheet2!H16</f>
        <v>22435561.809166629</v>
      </c>
      <c r="E16">
        <f>Sheet2!I16</f>
        <v>30.626415987930123</v>
      </c>
      <c r="F16">
        <f>Sheet2!J16</f>
        <v>28.1419599774683</v>
      </c>
    </row>
    <row r="17" spans="1:6" x14ac:dyDescent="0.25">
      <c r="A17">
        <f>Sheet2!A17</f>
        <v>75</v>
      </c>
      <c r="B17">
        <f>Sheet2!F17</f>
        <v>19342213.155403566</v>
      </c>
      <c r="C17">
        <f>Sheet2!G17</f>
        <v>2445625.8831467833</v>
      </c>
      <c r="D17">
        <f>Sheet2!H17</f>
        <v>21787839.038550347</v>
      </c>
      <c r="E17">
        <f>Sheet2!I17</f>
        <v>32.884132551142912</v>
      </c>
      <c r="F17">
        <f>Sheet2!J17</f>
        <v>30.216527539909865</v>
      </c>
    </row>
    <row r="18" spans="1:6" x14ac:dyDescent="0.25">
      <c r="A18">
        <f>Sheet2!A18</f>
        <v>80</v>
      </c>
      <c r="B18">
        <f>Sheet2!F18</f>
        <v>18719848.069379292</v>
      </c>
      <c r="C18">
        <f>Sheet2!G18</f>
        <v>2448430.0581467832</v>
      </c>
      <c r="D18">
        <f>Sheet2!H18</f>
        <v>21168278.127526075</v>
      </c>
      <c r="E18">
        <f>Sheet2!I18</f>
        <v>35.043687524650807</v>
      </c>
      <c r="F18">
        <f>Sheet2!J18</f>
        <v>32.200896512680067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Jamil Md Nasir (P23CI0004)</dc:creator>
  <cp:lastModifiedBy>Mohsin Jamil Md Nasir (P23CI0004)</cp:lastModifiedBy>
  <dcterms:created xsi:type="dcterms:W3CDTF">2026-03-02T10:14:52Z</dcterms:created>
  <dcterms:modified xsi:type="dcterms:W3CDTF">2026-08-12T21:12:04Z</dcterms:modified>
</cp:coreProperties>
</file>