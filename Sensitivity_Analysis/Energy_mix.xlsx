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CER\Desktop\Nasir\Sensitivity analysis\Gridmix_emission\Energy_mix\Energy_mix\"/>
    </mc:Choice>
  </mc:AlternateContent>
  <xr:revisionPtr revIDLastSave="0" documentId="13_ncr:1_{3317E888-A69B-45EC-97E6-CB71248A08F3}" xr6:coauthVersionLast="47" xr6:coauthVersionMax="47" xr10:uidLastSave="{00000000-0000-0000-0000-000000000000}"/>
  <bookViews>
    <workbookView xWindow="14295" yWindow="0" windowWidth="14610" windowHeight="15585" firstSheet="1" activeTab="1" xr2:uid="{C62B1649-DE1B-4806-9F8B-44F3DD3831F1}"/>
  </bookViews>
  <sheets>
    <sheet name="energy mix_genertaion" sheetId="4" r:id="rId1"/>
    <sheet name="impact_generation"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3" i="5"/>
  <c r="F13" i="5"/>
  <c r="G13" i="5"/>
  <c r="H13" i="5"/>
  <c r="I13" i="5"/>
  <c r="J13" i="5"/>
  <c r="K13" i="5"/>
  <c r="L13" i="5"/>
  <c r="M13" i="5"/>
  <c r="N13" i="5"/>
  <c r="O13" i="5"/>
  <c r="P13" i="5"/>
  <c r="Q13" i="5"/>
  <c r="R13" i="5"/>
  <c r="S13" i="5"/>
  <c r="T13" i="5"/>
  <c r="U13" i="5"/>
  <c r="C13" i="5"/>
  <c r="D17" i="5"/>
  <c r="E17" i="5"/>
  <c r="F17" i="5"/>
  <c r="G17" i="5"/>
  <c r="H17" i="5"/>
  <c r="I17" i="5"/>
  <c r="J17" i="5"/>
  <c r="K17" i="5"/>
  <c r="L17" i="5"/>
  <c r="M17" i="5"/>
  <c r="N17" i="5"/>
  <c r="O17" i="5"/>
  <c r="P17" i="5"/>
  <c r="Q17" i="5"/>
  <c r="R17" i="5"/>
  <c r="S17" i="5"/>
  <c r="T17" i="5"/>
  <c r="U17" i="5"/>
  <c r="C17" i="5"/>
  <c r="U16" i="5"/>
  <c r="T16" i="5"/>
  <c r="S16" i="5"/>
  <c r="R16" i="5"/>
  <c r="Q16" i="5"/>
  <c r="P16" i="5"/>
  <c r="O16" i="5"/>
  <c r="N16" i="5"/>
  <c r="M16" i="5"/>
  <c r="L16" i="5"/>
  <c r="K16" i="5"/>
  <c r="J16" i="5"/>
  <c r="I16" i="5"/>
  <c r="H16" i="5"/>
  <c r="G16" i="5"/>
  <c r="F16" i="5"/>
  <c r="E16" i="5"/>
  <c r="D16" i="5"/>
  <c r="C16" i="5"/>
  <c r="I15" i="5"/>
  <c r="J15" i="5"/>
  <c r="K15" i="5"/>
  <c r="L15" i="5"/>
  <c r="M15" i="5"/>
  <c r="O15" i="5"/>
  <c r="P15" i="5"/>
  <c r="Q15" i="5"/>
  <c r="S15" i="5"/>
  <c r="C15" i="5"/>
  <c r="B10" i="5"/>
  <c r="N10" i="5" s="1"/>
  <c r="M3" i="5"/>
  <c r="N3" i="5"/>
  <c r="O3" i="5"/>
  <c r="P3" i="5"/>
  <c r="Q3" i="5"/>
  <c r="R3" i="5"/>
  <c r="S3" i="5"/>
  <c r="T3" i="5"/>
  <c r="U3" i="5"/>
  <c r="M4" i="5"/>
  <c r="N4" i="5"/>
  <c r="N15" i="5" s="1"/>
  <c r="O4" i="5"/>
  <c r="P4" i="5"/>
  <c r="Q4" i="5"/>
  <c r="R4" i="5"/>
  <c r="R15" i="5" s="1"/>
  <c r="S4" i="5"/>
  <c r="T4" i="5"/>
  <c r="T15" i="5" s="1"/>
  <c r="U4" i="5"/>
  <c r="U15" i="5" s="1"/>
  <c r="M5" i="5"/>
  <c r="N5" i="5"/>
  <c r="O5" i="5"/>
  <c r="P5" i="5"/>
  <c r="Q5" i="5"/>
  <c r="R5" i="5"/>
  <c r="S5" i="5"/>
  <c r="T5" i="5"/>
  <c r="U5" i="5"/>
  <c r="M6" i="5"/>
  <c r="N6" i="5"/>
  <c r="O6" i="5"/>
  <c r="P6" i="5"/>
  <c r="Q6" i="5"/>
  <c r="R6" i="5"/>
  <c r="S6" i="5"/>
  <c r="T6" i="5"/>
  <c r="U6" i="5"/>
  <c r="M7" i="5"/>
  <c r="N7" i="5"/>
  <c r="O7" i="5"/>
  <c r="P7" i="5"/>
  <c r="Q7" i="5"/>
  <c r="R7" i="5"/>
  <c r="S7" i="5"/>
  <c r="T7" i="5"/>
  <c r="U7" i="5"/>
  <c r="M8" i="5"/>
  <c r="N8" i="5"/>
  <c r="O8" i="5"/>
  <c r="P8" i="5"/>
  <c r="Q8" i="5"/>
  <c r="R8" i="5"/>
  <c r="S8" i="5"/>
  <c r="T8" i="5"/>
  <c r="U8" i="5"/>
  <c r="M9" i="5"/>
  <c r="N9" i="5"/>
  <c r="O9" i="5"/>
  <c r="P9" i="5"/>
  <c r="Q9" i="5"/>
  <c r="R9" i="5"/>
  <c r="S9" i="5"/>
  <c r="T9" i="5"/>
  <c r="U9" i="5"/>
  <c r="M11" i="5"/>
  <c r="N11" i="5"/>
  <c r="O11" i="5"/>
  <c r="P11" i="5"/>
  <c r="Q11" i="5"/>
  <c r="R11" i="5"/>
  <c r="S11" i="5"/>
  <c r="T11" i="5"/>
  <c r="U11" i="5"/>
  <c r="M12" i="5"/>
  <c r="N12" i="5"/>
  <c r="O12" i="5"/>
  <c r="P12" i="5"/>
  <c r="Q12" i="5"/>
  <c r="R12" i="5"/>
  <c r="S12" i="5"/>
  <c r="T12" i="5"/>
  <c r="U12" i="5"/>
  <c r="U2" i="5"/>
  <c r="T2" i="5"/>
  <c r="S2" i="5"/>
  <c r="R2" i="5"/>
  <c r="Q2" i="5"/>
  <c r="P2" i="5"/>
  <c r="O2" i="5"/>
  <c r="N2" i="5"/>
  <c r="M2" i="5"/>
  <c r="L3" i="5"/>
  <c r="L4" i="5"/>
  <c r="L5" i="5"/>
  <c r="L6" i="5"/>
  <c r="L7" i="5"/>
  <c r="L8" i="5"/>
  <c r="L9" i="5"/>
  <c r="L11" i="5"/>
  <c r="L12" i="5"/>
  <c r="L2" i="5"/>
  <c r="K3" i="5"/>
  <c r="K4" i="5"/>
  <c r="K5" i="5"/>
  <c r="K6" i="5"/>
  <c r="K7" i="5"/>
  <c r="K8" i="5"/>
  <c r="K9" i="5"/>
  <c r="K11" i="5"/>
  <c r="K12" i="5"/>
  <c r="K2" i="5"/>
  <c r="J3" i="5"/>
  <c r="J4" i="5"/>
  <c r="J5" i="5"/>
  <c r="J6" i="5"/>
  <c r="J7" i="5"/>
  <c r="J8" i="5"/>
  <c r="J9" i="5"/>
  <c r="J11" i="5"/>
  <c r="J12" i="5"/>
  <c r="J2" i="5"/>
  <c r="I3" i="5"/>
  <c r="I4" i="5"/>
  <c r="I5" i="5"/>
  <c r="I6" i="5"/>
  <c r="I7" i="5"/>
  <c r="I8" i="5"/>
  <c r="I9" i="5"/>
  <c r="I11" i="5"/>
  <c r="I12" i="5"/>
  <c r="I2" i="5"/>
  <c r="H12" i="5"/>
  <c r="H3" i="5"/>
  <c r="H4" i="5"/>
  <c r="H15" i="5" s="1"/>
  <c r="H5" i="5"/>
  <c r="H6" i="5"/>
  <c r="H7" i="5"/>
  <c r="H8" i="5"/>
  <c r="H9" i="5"/>
  <c r="H11" i="5"/>
  <c r="H2" i="5"/>
  <c r="G3" i="5"/>
  <c r="G4" i="5"/>
  <c r="G15" i="5" s="1"/>
  <c r="G5" i="5"/>
  <c r="G6" i="5"/>
  <c r="G7" i="5"/>
  <c r="G8" i="5"/>
  <c r="G9" i="5"/>
  <c r="G11" i="5"/>
  <c r="G12" i="5"/>
  <c r="G2" i="5"/>
  <c r="F3" i="5"/>
  <c r="F4" i="5"/>
  <c r="F15" i="5" s="1"/>
  <c r="F5" i="5"/>
  <c r="F6" i="5"/>
  <c r="F7" i="5"/>
  <c r="F8" i="5"/>
  <c r="F9" i="5"/>
  <c r="F11" i="5"/>
  <c r="F12" i="5"/>
  <c r="F2" i="5"/>
  <c r="E3" i="5"/>
  <c r="E15" i="5" s="1"/>
  <c r="E4" i="5"/>
  <c r="E5" i="5"/>
  <c r="E6" i="5"/>
  <c r="E7" i="5"/>
  <c r="E8" i="5"/>
  <c r="E9" i="5"/>
  <c r="E11" i="5"/>
  <c r="E12" i="5"/>
  <c r="E2" i="5"/>
  <c r="G1" i="5"/>
  <c r="H1" i="5" s="1"/>
  <c r="I1" i="5" s="1"/>
  <c r="J1" i="5" s="1"/>
  <c r="K1" i="5" s="1"/>
  <c r="L1" i="5" s="1"/>
  <c r="M1" i="5" s="1"/>
  <c r="N1" i="5" s="1"/>
  <c r="O1" i="5" s="1"/>
  <c r="P1" i="5" s="1"/>
  <c r="Q1" i="5" s="1"/>
  <c r="R1" i="5" s="1"/>
  <c r="S1" i="5" s="1"/>
  <c r="T1" i="5" s="1"/>
  <c r="U1" i="5" s="1"/>
  <c r="F1" i="5"/>
  <c r="D3" i="5"/>
  <c r="D4" i="5"/>
  <c r="D5" i="5"/>
  <c r="D6" i="5"/>
  <c r="D7" i="5"/>
  <c r="D8" i="5"/>
  <c r="D9" i="5"/>
  <c r="D11" i="5"/>
  <c r="D12" i="5"/>
  <c r="D2" i="5"/>
  <c r="C3" i="5"/>
  <c r="C4" i="5"/>
  <c r="C5" i="5"/>
  <c r="C6" i="5"/>
  <c r="C7" i="5"/>
  <c r="C8" i="5"/>
  <c r="C9" i="5"/>
  <c r="C11" i="5"/>
  <c r="C12" i="5"/>
  <c r="C2" i="5"/>
  <c r="D12" i="4"/>
  <c r="F12" i="4"/>
  <c r="H12" i="4"/>
  <c r="J12" i="4"/>
  <c r="L12" i="4"/>
  <c r="N12" i="4"/>
  <c r="P12" i="4"/>
  <c r="R12" i="4"/>
  <c r="T12" i="4"/>
  <c r="V12" i="4"/>
  <c r="X12" i="4"/>
  <c r="Z12" i="4"/>
  <c r="AB12" i="4"/>
  <c r="AD12" i="4"/>
  <c r="AF12" i="4"/>
  <c r="AH12" i="4"/>
  <c r="AJ12" i="4"/>
  <c r="AL12" i="4"/>
  <c r="D11" i="4"/>
  <c r="F11" i="4"/>
  <c r="H11" i="4"/>
  <c r="J11" i="4"/>
  <c r="L11" i="4"/>
  <c r="N11" i="4"/>
  <c r="P11" i="4"/>
  <c r="R11" i="4"/>
  <c r="T11" i="4"/>
  <c r="V11" i="4"/>
  <c r="X11" i="4"/>
  <c r="Z11" i="4"/>
  <c r="AB11" i="4"/>
  <c r="AD11" i="4"/>
  <c r="AF11" i="4"/>
  <c r="AH11" i="4"/>
  <c r="AJ11" i="4"/>
  <c r="AL11" i="4"/>
  <c r="B11" i="4"/>
  <c r="B12" i="4"/>
  <c r="N14" i="5" l="1"/>
  <c r="D15" i="5"/>
  <c r="L10" i="5"/>
  <c r="M10" i="5"/>
  <c r="M14" i="5" s="1"/>
  <c r="U10" i="5"/>
  <c r="T10" i="5"/>
  <c r="C10" i="5"/>
  <c r="I10" i="5"/>
  <c r="H10" i="5"/>
  <c r="D10" i="5"/>
  <c r="R10" i="5"/>
  <c r="K10" i="5"/>
  <c r="S10" i="5"/>
  <c r="Q10" i="5"/>
  <c r="G10" i="5"/>
  <c r="O10" i="5"/>
  <c r="O14" i="5" s="1"/>
  <c r="F10" i="5"/>
  <c r="E10" i="5"/>
  <c r="P10" i="5"/>
  <c r="P14" i="5" s="1"/>
  <c r="J10" i="5"/>
  <c r="AJ13" i="4"/>
  <c r="X13" i="4"/>
  <c r="Y2" i="4"/>
  <c r="AK6" i="4"/>
  <c r="Y13" i="4"/>
  <c r="AK5" i="4"/>
  <c r="Y12" i="4"/>
  <c r="AK4" i="4"/>
  <c r="Y11" i="4"/>
  <c r="AK3" i="4"/>
  <c r="Y10" i="4"/>
  <c r="Y9" i="4"/>
  <c r="Y8" i="4"/>
  <c r="AK11" i="4"/>
  <c r="AH13" i="4"/>
  <c r="AI11" i="4" s="1"/>
  <c r="AK10" i="4"/>
  <c r="AK13" i="4"/>
  <c r="AK12" i="4"/>
  <c r="AF13" i="4"/>
  <c r="AG11" i="4" s="1"/>
  <c r="AK9" i="4"/>
  <c r="Y4" i="4"/>
  <c r="M11" i="4"/>
  <c r="AK8" i="4"/>
  <c r="AL13" i="4"/>
  <c r="AM11" i="4" s="1"/>
  <c r="F13" i="4"/>
  <c r="R13" i="4"/>
  <c r="B13" i="4"/>
  <c r="C11" i="4" s="1"/>
  <c r="AD13" i="4"/>
  <c r="N13" i="4"/>
  <c r="J13" i="4"/>
  <c r="K12" i="4" s="1"/>
  <c r="P13" i="4"/>
  <c r="Q12" i="4" s="1"/>
  <c r="AB13" i="4"/>
  <c r="AC12" i="4" s="1"/>
  <c r="V13" i="4"/>
  <c r="Z13" i="4"/>
  <c r="T13" i="4"/>
  <c r="H13" i="4"/>
  <c r="I11" i="4" s="1"/>
  <c r="L13" i="4"/>
  <c r="M12" i="4" s="1"/>
  <c r="D13" i="4"/>
  <c r="E11" i="4" s="1"/>
  <c r="L14" i="5" l="1"/>
  <c r="Q14" i="5"/>
  <c r="G14" i="5"/>
  <c r="F14" i="5"/>
  <c r="E14" i="5"/>
  <c r="U14" i="5"/>
  <c r="T14" i="5"/>
  <c r="C14" i="5"/>
  <c r="I14" i="5"/>
  <c r="H14" i="5"/>
  <c r="D14" i="5"/>
  <c r="R14" i="5"/>
  <c r="K14" i="5"/>
  <c r="S14" i="5"/>
  <c r="J14" i="5"/>
  <c r="AM12" i="4"/>
  <c r="K11" i="4"/>
  <c r="Q11" i="4"/>
  <c r="Y3" i="4"/>
  <c r="Y5" i="4"/>
  <c r="Y6" i="4"/>
  <c r="Y7" i="4"/>
  <c r="I12" i="4"/>
  <c r="AK7" i="4"/>
  <c r="AK2" i="4"/>
  <c r="AE3" i="4"/>
  <c r="AE4" i="4"/>
  <c r="AE7" i="4"/>
  <c r="AE8" i="4"/>
  <c r="AE9" i="4"/>
  <c r="AE5" i="4"/>
  <c r="AE6" i="4"/>
  <c r="AE11" i="4"/>
  <c r="AE12" i="4"/>
  <c r="AE13" i="4"/>
  <c r="AE2" i="4"/>
  <c r="AE10" i="4"/>
  <c r="AA11" i="4"/>
  <c r="AA13" i="4"/>
  <c r="AA2" i="4"/>
  <c r="AA3" i="4"/>
  <c r="AA4" i="4"/>
  <c r="AA5" i="4"/>
  <c r="AA6" i="4"/>
  <c r="AA7" i="4"/>
  <c r="AA8" i="4"/>
  <c r="AA10" i="4"/>
  <c r="AA9" i="4"/>
  <c r="G3" i="4"/>
  <c r="G4" i="4"/>
  <c r="G7" i="4"/>
  <c r="G5" i="4"/>
  <c r="G8" i="4"/>
  <c r="G6" i="4"/>
  <c r="G11" i="4"/>
  <c r="G12" i="4"/>
  <c r="G13" i="4"/>
  <c r="G10" i="4"/>
  <c r="G2" i="4"/>
  <c r="G9" i="4"/>
  <c r="S11" i="4"/>
  <c r="S13" i="4"/>
  <c r="S2" i="4"/>
  <c r="S3" i="4"/>
  <c r="S4" i="4"/>
  <c r="S5" i="4"/>
  <c r="S6" i="4"/>
  <c r="S7" i="4"/>
  <c r="S8" i="4"/>
  <c r="S10" i="4"/>
  <c r="S9" i="4"/>
  <c r="AC7" i="4"/>
  <c r="AC8" i="4"/>
  <c r="AC11" i="4"/>
  <c r="AC13" i="4"/>
  <c r="AC9" i="4"/>
  <c r="AC10" i="4"/>
  <c r="AC3" i="4"/>
  <c r="AC2" i="4"/>
  <c r="AC4" i="4"/>
  <c r="AC6" i="4"/>
  <c r="AC5" i="4"/>
  <c r="AI12" i="4"/>
  <c r="O3" i="4"/>
  <c r="O4" i="4"/>
  <c r="O7" i="4"/>
  <c r="O8" i="4"/>
  <c r="O9" i="4"/>
  <c r="O5" i="4"/>
  <c r="O6" i="4"/>
  <c r="O13" i="4"/>
  <c r="O2" i="4"/>
  <c r="O10" i="4"/>
  <c r="O11" i="4"/>
  <c r="Q3" i="4"/>
  <c r="Q4" i="4"/>
  <c r="Q7" i="4"/>
  <c r="Q8" i="4"/>
  <c r="Q9" i="4"/>
  <c r="Q10" i="4"/>
  <c r="Q2" i="4"/>
  <c r="Q6" i="4"/>
  <c r="Q5" i="4"/>
  <c r="Q13" i="4"/>
  <c r="I3" i="4"/>
  <c r="I4" i="4"/>
  <c r="I5" i="4"/>
  <c r="I8" i="4"/>
  <c r="I9" i="4"/>
  <c r="I10" i="4"/>
  <c r="I6" i="4"/>
  <c r="I7" i="4"/>
  <c r="I13" i="4"/>
  <c r="I2" i="4"/>
  <c r="AI13" i="4"/>
  <c r="AI2" i="4"/>
  <c r="AI3" i="4"/>
  <c r="AI4" i="4"/>
  <c r="AI5" i="4"/>
  <c r="AI6" i="4"/>
  <c r="AI7" i="4"/>
  <c r="AI8" i="4"/>
  <c r="AI9" i="4"/>
  <c r="AI10" i="4"/>
  <c r="C13" i="4"/>
  <c r="C3" i="4"/>
  <c r="C2" i="4"/>
  <c r="C4" i="4"/>
  <c r="C5" i="4"/>
  <c r="C6" i="4"/>
  <c r="C7" i="4"/>
  <c r="C8" i="4"/>
  <c r="C9" i="4"/>
  <c r="C10" i="4"/>
  <c r="U7" i="4"/>
  <c r="U8" i="4"/>
  <c r="U11" i="4"/>
  <c r="U9" i="4"/>
  <c r="U12" i="4"/>
  <c r="U10" i="4"/>
  <c r="U13" i="4"/>
  <c r="U3" i="4"/>
  <c r="U2" i="4"/>
  <c r="U4" i="4"/>
  <c r="U6" i="4"/>
  <c r="U5" i="4"/>
  <c r="AM3" i="4"/>
  <c r="AM10" i="4"/>
  <c r="AM4" i="4"/>
  <c r="AM8" i="4"/>
  <c r="AM9" i="4"/>
  <c r="AM5" i="4"/>
  <c r="AM7" i="4"/>
  <c r="AM6" i="4"/>
  <c r="AM13" i="4"/>
  <c r="AM2" i="4"/>
  <c r="W3" i="4"/>
  <c r="W4" i="4"/>
  <c r="W7" i="4"/>
  <c r="W8" i="4"/>
  <c r="W5" i="4"/>
  <c r="W6" i="4"/>
  <c r="W11" i="4"/>
  <c r="W12" i="4"/>
  <c r="W13" i="4"/>
  <c r="W2" i="4"/>
  <c r="W9" i="4"/>
  <c r="W10" i="4"/>
  <c r="AG3" i="4"/>
  <c r="AG4" i="4"/>
  <c r="AG5" i="4"/>
  <c r="AG6" i="4"/>
  <c r="AG7" i="4"/>
  <c r="AG8" i="4"/>
  <c r="AG9" i="4"/>
  <c r="AG10" i="4"/>
  <c r="AG2" i="4"/>
  <c r="AG12" i="4"/>
  <c r="AG13" i="4"/>
  <c r="O12" i="4"/>
  <c r="E7" i="4"/>
  <c r="E8" i="4"/>
  <c r="E13" i="4"/>
  <c r="E9" i="4"/>
  <c r="E10" i="4"/>
  <c r="E12" i="4"/>
  <c r="E3" i="4"/>
  <c r="E2" i="4"/>
  <c r="E4" i="4"/>
  <c r="E6" i="4"/>
  <c r="E5" i="4"/>
  <c r="C12" i="4"/>
  <c r="K13" i="4"/>
  <c r="K2" i="4"/>
  <c r="K4" i="4"/>
  <c r="K5" i="4"/>
  <c r="K6" i="4"/>
  <c r="K3" i="4"/>
  <c r="K7" i="4"/>
  <c r="K8" i="4"/>
  <c r="K10" i="4"/>
  <c r="K9" i="4"/>
  <c r="S12" i="4"/>
  <c r="M7" i="4"/>
  <c r="M8" i="4"/>
  <c r="M13" i="4"/>
  <c r="M9" i="4"/>
  <c r="M10" i="4"/>
  <c r="M2" i="4"/>
  <c r="M3" i="4"/>
  <c r="M4" i="4"/>
  <c r="M5" i="4"/>
  <c r="M6" i="4"/>
  <c r="AA12" i="4"/>
</calcChain>
</file>

<file path=xl/sharedStrings.xml><?xml version="1.0" encoding="utf-8"?>
<sst xmlns="http://schemas.openxmlformats.org/spreadsheetml/2006/main" count="73" uniqueCount="45">
  <si>
    <t>Coal</t>
  </si>
  <si>
    <t>Total</t>
  </si>
  <si>
    <t>Impact (CO2 eq/kWh)</t>
  </si>
  <si>
    <t>2014-15</t>
  </si>
  <si>
    <t>2015-16</t>
  </si>
  <si>
    <t>2016-17</t>
  </si>
  <si>
    <t>2017-18</t>
  </si>
  <si>
    <t>2018-19</t>
  </si>
  <si>
    <t>2019-20</t>
  </si>
  <si>
    <t>2020-21</t>
  </si>
  <si>
    <t>2021-22</t>
  </si>
  <si>
    <t>2022-23</t>
  </si>
  <si>
    <t>2023-24</t>
  </si>
  <si>
    <t>2024-25</t>
  </si>
  <si>
    <t>Coal - Generation (in MU)</t>
  </si>
  <si>
    <t>Oil &amp; Gas - Generation (in MU)</t>
  </si>
  <si>
    <t>Nuclear - Generation (in MU)</t>
  </si>
  <si>
    <t>Hydro - Generation (in MU)</t>
  </si>
  <si>
    <t>Solar - Generation (in MU)</t>
  </si>
  <si>
    <t>Wind - Generation (in MU)</t>
  </si>
  <si>
    <t>Small-Hydro - Generation (in MU)</t>
  </si>
  <si>
    <t>Bio Power - Generation (in MU)</t>
  </si>
  <si>
    <t>Parameter</t>
  </si>
  <si>
    <t>2007-08</t>
  </si>
  <si>
    <t>2008-09</t>
  </si>
  <si>
    <t>2009-10</t>
  </si>
  <si>
    <t>2010-11</t>
  </si>
  <si>
    <t>2011-12</t>
  </si>
  <si>
    <t>2012-13</t>
  </si>
  <si>
    <t>2013-14</t>
  </si>
  <si>
    <t>2025-26</t>
  </si>
  <si>
    <t xml:space="preserve">RES-Total - Generation </t>
  </si>
  <si>
    <t>Copyright © 2026, NITI Aayog</t>
  </si>
  <si>
    <t>https://iced.niti.gov.in</t>
  </si>
  <si>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</si>
  <si>
    <t xml:space="preserve">Data link </t>
  </si>
  <si>
    <t>https://iced.niti.gov.in/energy/electricity/generation/power-generation</t>
  </si>
  <si>
    <t>Renewable share</t>
  </si>
  <si>
    <t xml:space="preserve">Non Renewable share </t>
  </si>
  <si>
    <t>% share</t>
  </si>
  <si>
    <t>Renewable impact(CO2 eq/kWh)</t>
  </si>
  <si>
    <t>Non Renewable impact(CO2 eq/kWh)</t>
  </si>
  <si>
    <t>Renewable energy share (%)</t>
  </si>
  <si>
    <t>Nonrenewable energy share (%)</t>
  </si>
  <si>
    <t>Total impact(CO2 eq/kWh)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</si>
</sst>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mruColors>
      <color rgb="FFFFCCCC"/>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48B1-0140-428B-AA1E-C536ABB78F6C}">
  <dimension ref="A1:AM18"/>
  <sheetViews>
    <sheetView workbookViewId="0">
      <selection activeCell="AM11" sqref="AM11"/>
    </sheetView>
  </sheetViews>
  <sheetFormatPr defaultRowHeight="15" x14ac:dyDescent="0.25"/>
  <cols>
    <col min="1" max="1" width="28.140625" customWidth="1"/>
    <col min="2" max="3" width="19.5703125" customWidth="1"/>
    <col min="4" max="5" width="15.7109375" customWidth="1"/>
    <col min="6" max="7" width="14.5703125" customWidth="1"/>
    <col min="8" max="9" width="15.28515625" customWidth="1"/>
    <col min="10" max="11" width="15.140625" customWidth="1"/>
    <col min="12" max="13" width="14.5703125" customWidth="1"/>
    <col min="14" max="15" width="16.140625" customWidth="1"/>
  </cols>
  <sheetData>
    <row r="1" spans="1:39" ht="23.1" customHeight="1" x14ac:dyDescent="0.25">
      <c r="A1" t="s">
        <v>22</v>
      </c>
      <c r="B1" t="s">
        <v>23</v>
      </c>
      <c r="C1" t="s">
        <v>39</v>
      </c>
      <c r="D1" t="s">
        <v>24</v>
      </c>
      <c r="E1" t="s">
        <v>39</v>
      </c>
      <c r="F1" t="s">
        <v>25</v>
      </c>
      <c r="G1" t="s">
        <v>39</v>
      </c>
      <c r="H1" t="s">
        <v>26</v>
      </c>
      <c r="I1" t="s">
        <v>39</v>
      </c>
      <c r="J1" t="s">
        <v>27</v>
      </c>
      <c r="K1" t="s">
        <v>39</v>
      </c>
      <c r="L1" t="s">
        <v>28</v>
      </c>
      <c r="M1" t="s">
        <v>39</v>
      </c>
      <c r="N1" t="s">
        <v>29</v>
      </c>
      <c r="O1" t="s">
        <v>39</v>
      </c>
      <c r="P1" t="s">
        <v>3</v>
      </c>
      <c r="Q1" t="s">
        <v>39</v>
      </c>
      <c r="R1" t="s">
        <v>4</v>
      </c>
      <c r="S1" t="s">
        <v>39</v>
      </c>
      <c r="T1" t="s">
        <v>5</v>
      </c>
      <c r="U1" t="s">
        <v>39</v>
      </c>
      <c r="V1" t="s">
        <v>6</v>
      </c>
      <c r="W1" t="s">
        <v>39</v>
      </c>
      <c r="X1" t="s">
        <v>7</v>
      </c>
      <c r="Y1" t="s">
        <v>39</v>
      </c>
      <c r="Z1" t="s">
        <v>8</v>
      </c>
      <c r="AA1" t="s">
        <v>39</v>
      </c>
      <c r="AB1" t="s">
        <v>9</v>
      </c>
      <c r="AC1" t="s">
        <v>39</v>
      </c>
      <c r="AD1" t="s">
        <v>10</v>
      </c>
      <c r="AE1" t="s">
        <v>39</v>
      </c>
      <c r="AF1" t="s">
        <v>11</v>
      </c>
      <c r="AG1" t="s">
        <v>39</v>
      </c>
      <c r="AH1" t="s">
        <v>12</v>
      </c>
      <c r="AI1" t="s">
        <v>39</v>
      </c>
      <c r="AJ1" t="s">
        <v>13</v>
      </c>
      <c r="AK1" t="s">
        <v>39</v>
      </c>
      <c r="AL1" t="s">
        <v>30</v>
      </c>
      <c r="AM1" t="s">
        <v>39</v>
      </c>
    </row>
    <row r="2" spans="1:39" ht="20.45" customHeight="1" x14ac:dyDescent="0.25">
      <c r="A2" t="s">
        <v>14</v>
      </c>
      <c r="B2">
        <v>486998.16</v>
      </c>
      <c r="C2">
        <f>B2/$B$13</f>
        <v>0.67392883312310459</v>
      </c>
      <c r="D2">
        <v>511895.05</v>
      </c>
      <c r="E2">
        <f>D2/$D$13</f>
        <v>0.69066054123052589</v>
      </c>
      <c r="F2">
        <v>539586.39</v>
      </c>
      <c r="G2">
        <f>F2/$F$13</f>
        <v>0.67460897072528303</v>
      </c>
      <c r="H2">
        <v>561298.06999999995</v>
      </c>
      <c r="I2">
        <f>H2/$H$13</f>
        <v>0.66445606318597583</v>
      </c>
      <c r="J2">
        <v>612497.07999999996</v>
      </c>
      <c r="K2">
        <f>J2/$J$13</f>
        <v>0.66398860626977985</v>
      </c>
      <c r="L2">
        <v>691341.21</v>
      </c>
      <c r="M2">
        <f>L2/$L$13</f>
        <v>0.71679542553974729</v>
      </c>
      <c r="N2">
        <v>745533.1</v>
      </c>
      <c r="O2">
        <f>N2/$N$13</f>
        <v>0.72618139694889561</v>
      </c>
      <c r="P2">
        <v>835290.78</v>
      </c>
      <c r="Q2">
        <f>P2/$P$13</f>
        <v>0.75591518076517894</v>
      </c>
      <c r="R2">
        <v>895339.83</v>
      </c>
      <c r="S2">
        <f>R2/$R$13</f>
        <v>0.7668311521827389</v>
      </c>
      <c r="T2">
        <v>944021.83</v>
      </c>
      <c r="U2">
        <f>T2/$T$13</f>
        <v>0.7641686420320043</v>
      </c>
      <c r="V2">
        <v>986590.65</v>
      </c>
      <c r="W2">
        <f>V2/$V$13</f>
        <v>0.7569044459842329</v>
      </c>
      <c r="X2">
        <v>1022265.32</v>
      </c>
      <c r="Y2">
        <f>X2/$X$13</f>
        <v>0.74521111804355022</v>
      </c>
      <c r="Z2">
        <v>994196.99</v>
      </c>
      <c r="AA2">
        <f>Z2/$Z$13</f>
        <v>0.71865329400780054</v>
      </c>
      <c r="AB2">
        <v>981443.23</v>
      </c>
      <c r="AC2">
        <f>AB2/$AB$13</f>
        <v>0.71471937809598252</v>
      </c>
      <c r="AD2">
        <v>1078581.47</v>
      </c>
      <c r="AE2">
        <f>AD2/$AD$13</f>
        <v>0.72658019221333559</v>
      </c>
      <c r="AF2">
        <v>1182095.8400000001</v>
      </c>
      <c r="AG2">
        <f>AF2/$AF$13</f>
        <v>0.73071579764527317</v>
      </c>
      <c r="AH2">
        <v>1294852.3899999999</v>
      </c>
      <c r="AI2">
        <f>AH2/$AH$13</f>
        <v>0.74658152806589873</v>
      </c>
      <c r="AJ2">
        <v>1331867.06</v>
      </c>
      <c r="AK2">
        <f>AJ2/$AJ$13</f>
        <v>0.73010471497652074</v>
      </c>
      <c r="AL2">
        <v>1280512.19</v>
      </c>
      <c r="AM2">
        <f>AL2/$AL$13</f>
        <v>0.69719871598398897</v>
      </c>
    </row>
    <row r="3" spans="1:39" ht="21.95" customHeight="1" x14ac:dyDescent="0.25">
      <c r="A3" t="s">
        <v>15</v>
      </c>
      <c r="B3">
        <v>73073.62</v>
      </c>
      <c r="C3">
        <f t="shared" ref="C3:C13" si="0">B3/$B$13</f>
        <v>0.10112239327286401</v>
      </c>
      <c r="D3">
        <v>76386.78</v>
      </c>
      <c r="E3">
        <f t="shared" ref="E3:E13" si="1">D3/$D$13</f>
        <v>0.10306279542585361</v>
      </c>
      <c r="F3">
        <v>100621.37</v>
      </c>
      <c r="G3">
        <f t="shared" ref="G3:G13" si="2">F3/$F$13</f>
        <v>0.1258002056884123</v>
      </c>
      <c r="H3">
        <v>103523.68</v>
      </c>
      <c r="I3">
        <f t="shared" ref="I3:I13" si="3">H3/$H$13</f>
        <v>0.12254974769345767</v>
      </c>
      <c r="J3">
        <v>95930.03</v>
      </c>
      <c r="K3">
        <f t="shared" ref="K3:K13" si="4">J3/$J$13</f>
        <v>0.10399469483041156</v>
      </c>
      <c r="L3">
        <v>69112.350000000006</v>
      </c>
      <c r="M3">
        <f t="shared" ref="M3:M13" si="5">L3/$L$13</f>
        <v>7.1656969976232082E-2</v>
      </c>
      <c r="N3">
        <v>46520.47</v>
      </c>
      <c r="O3">
        <f t="shared" ref="O3:O13" si="6">N3/$N$13</f>
        <v>4.5312944376740875E-2</v>
      </c>
      <c r="P3">
        <v>42650.71</v>
      </c>
      <c r="Q3">
        <f t="shared" ref="Q3:Q13" si="7">P3/$P$13</f>
        <v>3.8597719418635532E-2</v>
      </c>
      <c r="R3">
        <v>47673.09</v>
      </c>
      <c r="S3">
        <f t="shared" ref="S3:S13" si="8">R3/$R$13</f>
        <v>4.0830541999691231E-2</v>
      </c>
      <c r="T3">
        <v>49494.51</v>
      </c>
      <c r="U3">
        <f t="shared" ref="U3:U13" si="9">T3/$T$13</f>
        <v>4.0064913006026E-2</v>
      </c>
      <c r="V3">
        <v>50555.73</v>
      </c>
      <c r="W3">
        <f t="shared" ref="W3:W13" si="10">V3/$V$13</f>
        <v>3.8785951201725323E-2</v>
      </c>
      <c r="X3">
        <v>50048.84</v>
      </c>
      <c r="Y3">
        <f t="shared" ref="Y3:Y13" si="11">X3/$X$13</f>
        <v>3.6484610485644525E-2</v>
      </c>
      <c r="Z3">
        <v>48641.17</v>
      </c>
      <c r="AA3">
        <f t="shared" ref="AA3:AA13" si="12">Z3/$Z$13</f>
        <v>3.5160171873879244E-2</v>
      </c>
      <c r="AB3">
        <v>51167.54</v>
      </c>
      <c r="AC3">
        <f t="shared" ref="AC3:AC13" si="13">AB3/$AB$13</f>
        <v>3.7261892740858088E-2</v>
      </c>
      <c r="AD3">
        <v>36229.919999999998</v>
      </c>
      <c r="AE3">
        <f t="shared" ref="AE3:AE13" si="14">AD3/$AD$13</f>
        <v>2.4406076842274853E-2</v>
      </c>
      <c r="AF3">
        <v>24114.75</v>
      </c>
      <c r="AG3">
        <f t="shared" ref="AG3:AG13" si="15">AF3/$AF$13</f>
        <v>1.4906599097131034E-2</v>
      </c>
      <c r="AH3">
        <v>31696.52</v>
      </c>
      <c r="AI3">
        <f t="shared" ref="AI3:AI13" si="16">AH3/$AH$13</f>
        <v>1.8275470253386428E-2</v>
      </c>
      <c r="AJ3">
        <v>32022.7</v>
      </c>
      <c r="AK3">
        <f t="shared" ref="AK3:AK13" si="17">AJ3/$AJ$13</f>
        <v>1.7554247686160682E-2</v>
      </c>
      <c r="AL3">
        <v>26439.040000000001</v>
      </c>
      <c r="AM3">
        <f t="shared" ref="AM3:AM13" si="18">AL3/$AL$13</f>
        <v>1.4395227850075621E-2</v>
      </c>
    </row>
    <row r="4" spans="1:39" ht="20.45" customHeight="1" x14ac:dyDescent="0.25">
      <c r="A4" t="s">
        <v>16</v>
      </c>
      <c r="B4">
        <v>16957</v>
      </c>
      <c r="C4">
        <f t="shared" si="0"/>
        <v>2.3465820123978465E-2</v>
      </c>
      <c r="D4">
        <v>14927</v>
      </c>
      <c r="E4">
        <f t="shared" si="1"/>
        <v>2.013985073492713E-2</v>
      </c>
      <c r="F4">
        <v>18636.439999999999</v>
      </c>
      <c r="G4">
        <f t="shared" si="2"/>
        <v>2.329990125655966E-2</v>
      </c>
      <c r="H4">
        <v>26266.400000000001</v>
      </c>
      <c r="I4">
        <f t="shared" si="3"/>
        <v>3.109376224662258E-2</v>
      </c>
      <c r="J4">
        <v>32286.560000000001</v>
      </c>
      <c r="K4">
        <f t="shared" si="4"/>
        <v>3.5000832943800526E-2</v>
      </c>
      <c r="L4">
        <v>32866.11</v>
      </c>
      <c r="M4">
        <f t="shared" si="5"/>
        <v>3.4076194160747551E-2</v>
      </c>
      <c r="N4">
        <v>34227.79</v>
      </c>
      <c r="O4">
        <f t="shared" si="6"/>
        <v>3.3339343828829922E-2</v>
      </c>
      <c r="P4">
        <v>36101.54</v>
      </c>
      <c r="Q4">
        <f t="shared" si="7"/>
        <v>3.267090070717809E-2</v>
      </c>
      <c r="R4">
        <v>37413.620000000003</v>
      </c>
      <c r="S4">
        <f t="shared" si="8"/>
        <v>3.2043620054216918E-2</v>
      </c>
      <c r="T4">
        <v>37915.870000000003</v>
      </c>
      <c r="U4">
        <f t="shared" si="9"/>
        <v>3.0692212794869389E-2</v>
      </c>
      <c r="V4">
        <v>38346.120000000003</v>
      </c>
      <c r="W4">
        <f t="shared" si="10"/>
        <v>2.9418836185245538E-2</v>
      </c>
      <c r="X4">
        <v>37812.6</v>
      </c>
      <c r="Y4">
        <f t="shared" si="11"/>
        <v>2.7564634513996374E-2</v>
      </c>
      <c r="Z4">
        <v>46472.45</v>
      </c>
      <c r="AA4">
        <f t="shared" si="12"/>
        <v>3.359251698510253E-2</v>
      </c>
      <c r="AB4">
        <v>43029.08</v>
      </c>
      <c r="AC4">
        <f t="shared" si="13"/>
        <v>3.1335197347728695E-2</v>
      </c>
      <c r="AD4">
        <v>47112.06</v>
      </c>
      <c r="AE4">
        <f t="shared" si="14"/>
        <v>3.17367677477031E-2</v>
      </c>
      <c r="AF4">
        <v>45861.09</v>
      </c>
      <c r="AG4">
        <f t="shared" si="15"/>
        <v>2.8349159032851057E-2</v>
      </c>
      <c r="AH4">
        <v>47937.41</v>
      </c>
      <c r="AI4">
        <f t="shared" si="16"/>
        <v>2.7639586632204075E-2</v>
      </c>
      <c r="AJ4">
        <v>56680.83</v>
      </c>
      <c r="AK4">
        <f t="shared" si="17"/>
        <v>3.1071375270578901E-2</v>
      </c>
      <c r="AL4">
        <v>55180.92</v>
      </c>
      <c r="AM4">
        <f t="shared" si="18"/>
        <v>3.0044279836816873E-2</v>
      </c>
    </row>
    <row r="5" spans="1:39" ht="21" customHeight="1" x14ac:dyDescent="0.25">
      <c r="A5" t="s">
        <v>17</v>
      </c>
      <c r="B5">
        <v>120386.72</v>
      </c>
      <c r="C5">
        <f t="shared" si="0"/>
        <v>0.1665962798157552</v>
      </c>
      <c r="D5">
        <v>110098.53</v>
      </c>
      <c r="E5">
        <f t="shared" si="1"/>
        <v>0.14854746166911614</v>
      </c>
      <c r="F5">
        <v>104059.39</v>
      </c>
      <c r="G5">
        <f t="shared" si="2"/>
        <v>0.13009853340111266</v>
      </c>
      <c r="H5">
        <v>114415.52</v>
      </c>
      <c r="I5">
        <f t="shared" si="3"/>
        <v>0.13544334115842638</v>
      </c>
      <c r="J5">
        <v>130511.47</v>
      </c>
      <c r="K5">
        <f t="shared" si="4"/>
        <v>0.14148333420221398</v>
      </c>
      <c r="L5">
        <v>113720.29</v>
      </c>
      <c r="M5">
        <f t="shared" si="5"/>
        <v>0.1179073118801257</v>
      </c>
      <c r="N5">
        <v>134847.53</v>
      </c>
      <c r="O5">
        <f t="shared" si="6"/>
        <v>0.13134731068346678</v>
      </c>
      <c r="P5">
        <v>129243.69</v>
      </c>
      <c r="Q5">
        <f t="shared" si="7"/>
        <v>0.11696198453083458</v>
      </c>
      <c r="R5">
        <v>121376.65</v>
      </c>
      <c r="S5">
        <f t="shared" si="8"/>
        <v>0.10395538459132442</v>
      </c>
      <c r="T5">
        <v>122377.56</v>
      </c>
      <c r="U5">
        <f t="shared" si="9"/>
        <v>9.9062427232630978E-2</v>
      </c>
      <c r="V5">
        <v>126122.7</v>
      </c>
      <c r="W5">
        <f t="shared" si="10"/>
        <v>9.6760325439467332E-2</v>
      </c>
      <c r="X5">
        <v>134893.62</v>
      </c>
      <c r="Y5">
        <f t="shared" si="11"/>
        <v>9.8334770250390391E-2</v>
      </c>
      <c r="Z5">
        <v>155769.12</v>
      </c>
      <c r="AA5">
        <f t="shared" si="12"/>
        <v>0.11259739500186614</v>
      </c>
      <c r="AB5">
        <v>150299.51999999999</v>
      </c>
      <c r="AC5">
        <f t="shared" si="13"/>
        <v>0.10945307500111309</v>
      </c>
      <c r="AD5">
        <v>151627.32999999999</v>
      </c>
      <c r="AE5">
        <f t="shared" si="14"/>
        <v>0.10214287714046752</v>
      </c>
      <c r="AF5">
        <v>162098.76999999999</v>
      </c>
      <c r="AG5">
        <f t="shared" si="15"/>
        <v>0.10020180091139451</v>
      </c>
      <c r="AH5">
        <v>134053.92000000001</v>
      </c>
      <c r="AI5">
        <f t="shared" si="16"/>
        <v>7.7292347150723306E-2</v>
      </c>
      <c r="AJ5">
        <v>148633.98000000001</v>
      </c>
      <c r="AK5">
        <f t="shared" si="17"/>
        <v>8.1478379383994895E-2</v>
      </c>
      <c r="AL5">
        <v>167166.04</v>
      </c>
      <c r="AM5">
        <f t="shared" si="18"/>
        <v>9.1016664545870624E-2</v>
      </c>
    </row>
    <row r="6" spans="1:39" ht="20.45" customHeight="1" x14ac:dyDescent="0.25">
      <c r="A6" t="s">
        <v>18</v>
      </c>
      <c r="C6">
        <f t="shared" si="0"/>
        <v>0</v>
      </c>
      <c r="E6">
        <f t="shared" si="1"/>
        <v>0</v>
      </c>
      <c r="G6">
        <f t="shared" si="2"/>
        <v>0</v>
      </c>
      <c r="I6">
        <f t="shared" si="3"/>
        <v>0</v>
      </c>
      <c r="K6">
        <f t="shared" si="4"/>
        <v>0</v>
      </c>
      <c r="M6">
        <f t="shared" si="5"/>
        <v>0</v>
      </c>
      <c r="O6">
        <f t="shared" si="6"/>
        <v>0</v>
      </c>
      <c r="P6">
        <v>4599.0200000000004</v>
      </c>
      <c r="Q6">
        <f t="shared" si="7"/>
        <v>4.1619866014116344E-3</v>
      </c>
      <c r="R6">
        <v>7447.94</v>
      </c>
      <c r="S6">
        <f t="shared" si="8"/>
        <v>6.3789325798092869E-3</v>
      </c>
      <c r="T6">
        <v>13499.41</v>
      </c>
      <c r="U6">
        <f t="shared" si="9"/>
        <v>1.0927528877095204E-2</v>
      </c>
      <c r="V6">
        <v>25871.07</v>
      </c>
      <c r="W6">
        <f t="shared" si="10"/>
        <v>1.9848077726430217E-2</v>
      </c>
      <c r="X6">
        <v>39268.199999999997</v>
      </c>
      <c r="Y6">
        <f t="shared" si="11"/>
        <v>2.8625738008560966E-2</v>
      </c>
      <c r="Z6">
        <v>50131.1</v>
      </c>
      <c r="AA6">
        <f t="shared" si="12"/>
        <v>3.62371647768059E-2</v>
      </c>
      <c r="AB6">
        <v>60402.25</v>
      </c>
      <c r="AC6">
        <f t="shared" si="13"/>
        <v>4.3986913594175045E-2</v>
      </c>
      <c r="AD6">
        <v>73483.94</v>
      </c>
      <c r="AE6">
        <f t="shared" si="14"/>
        <v>4.9502032748433199E-2</v>
      </c>
      <c r="AF6">
        <v>102014.24</v>
      </c>
      <c r="AG6">
        <f t="shared" si="15"/>
        <v>6.3060383287345242E-2</v>
      </c>
      <c r="AH6">
        <v>115975.11</v>
      </c>
      <c r="AI6">
        <f t="shared" si="16"/>
        <v>6.6868529193053958E-2</v>
      </c>
      <c r="AJ6">
        <v>144150.23000000001</v>
      </c>
      <c r="AK6">
        <f t="shared" si="17"/>
        <v>7.9020471148186444E-2</v>
      </c>
      <c r="AL6">
        <v>173507.87</v>
      </c>
      <c r="AM6">
        <f t="shared" si="18"/>
        <v>9.4469592028731009E-2</v>
      </c>
    </row>
    <row r="7" spans="1:39" ht="20.45" customHeight="1" x14ac:dyDescent="0.25">
      <c r="A7" t="s">
        <v>19</v>
      </c>
      <c r="C7">
        <f t="shared" si="0"/>
        <v>0</v>
      </c>
      <c r="E7">
        <f t="shared" si="1"/>
        <v>0</v>
      </c>
      <c r="G7">
        <f t="shared" si="2"/>
        <v>0</v>
      </c>
      <c r="I7">
        <f t="shared" si="3"/>
        <v>0</v>
      </c>
      <c r="K7">
        <f t="shared" si="4"/>
        <v>0</v>
      </c>
      <c r="M7">
        <f t="shared" si="5"/>
        <v>0</v>
      </c>
      <c r="O7">
        <f t="shared" si="6"/>
        <v>0</v>
      </c>
      <c r="P7">
        <v>33768.300000000003</v>
      </c>
      <c r="Q7">
        <f t="shared" si="7"/>
        <v>3.0559382684234575E-2</v>
      </c>
      <c r="R7">
        <v>33029.39</v>
      </c>
      <c r="S7">
        <f t="shared" si="8"/>
        <v>2.8288661289192323E-2</v>
      </c>
      <c r="T7">
        <v>46004.34</v>
      </c>
      <c r="U7">
        <f t="shared" si="9"/>
        <v>3.7239683350732064E-2</v>
      </c>
      <c r="V7">
        <v>52666.09</v>
      </c>
      <c r="W7">
        <f t="shared" si="10"/>
        <v>4.040500249379593E-2</v>
      </c>
      <c r="X7">
        <v>62036.38</v>
      </c>
      <c r="Y7">
        <f t="shared" si="11"/>
        <v>4.5223289095999597E-2</v>
      </c>
      <c r="Z7">
        <v>64646.37</v>
      </c>
      <c r="AA7">
        <f t="shared" si="12"/>
        <v>4.6729498493198074E-2</v>
      </c>
      <c r="AB7">
        <v>60149.9</v>
      </c>
      <c r="AC7">
        <f t="shared" si="13"/>
        <v>4.3803143988812826E-2</v>
      </c>
      <c r="AD7">
        <v>68640.070000000007</v>
      </c>
      <c r="AE7">
        <f t="shared" si="14"/>
        <v>4.6238987634505548E-2</v>
      </c>
      <c r="AF7">
        <v>71814.16</v>
      </c>
      <c r="AG7">
        <f t="shared" si="15"/>
        <v>4.4392120698627337E-2</v>
      </c>
      <c r="AH7">
        <v>83385.350000000006</v>
      </c>
      <c r="AI7">
        <f t="shared" si="16"/>
        <v>4.8078037699192722E-2</v>
      </c>
      <c r="AJ7">
        <v>83347.19</v>
      </c>
      <c r="AK7">
        <f t="shared" si="17"/>
        <v>4.5689377135766027E-2</v>
      </c>
      <c r="AL7">
        <v>106088.8</v>
      </c>
      <c r="AM7">
        <f t="shared" si="18"/>
        <v>5.7762023444917154E-2</v>
      </c>
    </row>
    <row r="8" spans="1:39" ht="20.100000000000001" customHeight="1" x14ac:dyDescent="0.25">
      <c r="A8" t="s">
        <v>20</v>
      </c>
      <c r="C8">
        <f t="shared" si="0"/>
        <v>0</v>
      </c>
      <c r="E8">
        <f t="shared" si="1"/>
        <v>0</v>
      </c>
      <c r="G8">
        <f t="shared" si="2"/>
        <v>0</v>
      </c>
      <c r="I8">
        <f t="shared" si="3"/>
        <v>0</v>
      </c>
      <c r="K8">
        <f t="shared" si="4"/>
        <v>0</v>
      </c>
      <c r="M8">
        <f t="shared" si="5"/>
        <v>0</v>
      </c>
      <c r="O8">
        <f t="shared" si="6"/>
        <v>0</v>
      </c>
      <c r="P8">
        <v>8059.5</v>
      </c>
      <c r="Q8">
        <f t="shared" si="7"/>
        <v>7.2936258189955829E-3</v>
      </c>
      <c r="R8">
        <v>8354.51</v>
      </c>
      <c r="S8">
        <f t="shared" si="8"/>
        <v>7.1553820287680201E-3</v>
      </c>
      <c r="T8">
        <v>7672.66</v>
      </c>
      <c r="U8">
        <f t="shared" si="9"/>
        <v>6.2108798617223487E-3</v>
      </c>
      <c r="V8">
        <v>7691.58</v>
      </c>
      <c r="W8">
        <f t="shared" si="10"/>
        <v>5.9009185812204951E-3</v>
      </c>
      <c r="X8">
        <v>8702.75</v>
      </c>
      <c r="Y8">
        <f t="shared" si="11"/>
        <v>6.3441319300096251E-3</v>
      </c>
      <c r="Z8">
        <v>9451.2199999999993</v>
      </c>
      <c r="AA8">
        <f t="shared" si="12"/>
        <v>6.8317953621971879E-3</v>
      </c>
      <c r="AB8">
        <v>10258.41</v>
      </c>
      <c r="AC8">
        <f t="shared" si="13"/>
        <v>7.4705130071085297E-3</v>
      </c>
      <c r="AD8">
        <v>10463.540000000001</v>
      </c>
      <c r="AE8">
        <f t="shared" si="14"/>
        <v>7.0487034275045777E-3</v>
      </c>
      <c r="AF8">
        <v>11170.61</v>
      </c>
      <c r="AG8">
        <f t="shared" si="15"/>
        <v>6.905143322671929E-3</v>
      </c>
      <c r="AH8">
        <v>9485.0400000000009</v>
      </c>
      <c r="AI8">
        <f t="shared" si="16"/>
        <v>5.4688516711670684E-3</v>
      </c>
      <c r="AJ8">
        <v>11568.04</v>
      </c>
      <c r="AK8">
        <f t="shared" si="17"/>
        <v>6.3413840620376869E-3</v>
      </c>
      <c r="AL8">
        <v>11577.33</v>
      </c>
      <c r="AM8">
        <f t="shared" si="18"/>
        <v>6.3034929878511463E-3</v>
      </c>
    </row>
    <row r="9" spans="1:39" ht="19.5" customHeight="1" x14ac:dyDescent="0.25">
      <c r="A9" t="s">
        <v>21</v>
      </c>
      <c r="C9">
        <f t="shared" si="0"/>
        <v>0</v>
      </c>
      <c r="E9">
        <f t="shared" si="1"/>
        <v>0</v>
      </c>
      <c r="G9">
        <f t="shared" si="2"/>
        <v>0</v>
      </c>
      <c r="I9">
        <f t="shared" si="3"/>
        <v>0</v>
      </c>
      <c r="K9">
        <f t="shared" si="4"/>
        <v>0</v>
      </c>
      <c r="M9">
        <f t="shared" si="5"/>
        <v>0</v>
      </c>
      <c r="O9">
        <f t="shared" si="6"/>
        <v>0</v>
      </c>
      <c r="P9">
        <v>15292.42</v>
      </c>
      <c r="Q9">
        <f t="shared" si="7"/>
        <v>1.3839219473531165E-2</v>
      </c>
      <c r="R9">
        <v>16949.03</v>
      </c>
      <c r="S9">
        <f t="shared" si="8"/>
        <v>1.4516325274259055E-2</v>
      </c>
      <c r="T9">
        <v>14371.8</v>
      </c>
      <c r="U9">
        <f t="shared" si="9"/>
        <v>1.1633712844919656E-2</v>
      </c>
      <c r="V9">
        <v>15610.75</v>
      </c>
      <c r="W9">
        <f t="shared" si="10"/>
        <v>1.1976442387882313E-2</v>
      </c>
      <c r="X9">
        <v>16751.77</v>
      </c>
      <c r="Y9">
        <f t="shared" si="11"/>
        <v>1.2211707671848248E-2</v>
      </c>
      <c r="Z9">
        <v>14108.31</v>
      </c>
      <c r="AA9">
        <f t="shared" si="12"/>
        <v>1.0198163499150396E-2</v>
      </c>
      <c r="AB9">
        <v>16436.89</v>
      </c>
      <c r="AC9">
        <f t="shared" si="13"/>
        <v>1.1969886224221115E-2</v>
      </c>
      <c r="AD9">
        <v>18324.75</v>
      </c>
      <c r="AE9">
        <f t="shared" si="14"/>
        <v>1.234436224577576E-2</v>
      </c>
      <c r="AF9">
        <v>18553.66</v>
      </c>
      <c r="AG9">
        <f t="shared" si="15"/>
        <v>1.1468996004705674E-2</v>
      </c>
      <c r="AH9">
        <v>16989.330000000002</v>
      </c>
      <c r="AI9">
        <f t="shared" si="16"/>
        <v>9.7956493343737943E-3</v>
      </c>
      <c r="AJ9">
        <v>15943.72</v>
      </c>
      <c r="AK9">
        <f t="shared" si="17"/>
        <v>8.7400503367546702E-3</v>
      </c>
      <c r="AL9">
        <v>16180.92</v>
      </c>
      <c r="AM9">
        <f t="shared" si="18"/>
        <v>8.8100033217486575E-3</v>
      </c>
    </row>
    <row r="10" spans="1:39" ht="21" customHeight="1" x14ac:dyDescent="0.25">
      <c r="A10" t="s">
        <v>31</v>
      </c>
      <c r="B10">
        <v>25210</v>
      </c>
      <c r="C10">
        <f t="shared" si="0"/>
        <v>3.4886673664297756E-2</v>
      </c>
      <c r="D10">
        <v>27860</v>
      </c>
      <c r="E10">
        <f t="shared" si="1"/>
        <v>3.7589350939577264E-2</v>
      </c>
      <c r="F10">
        <v>36947.01</v>
      </c>
      <c r="G10">
        <f t="shared" si="2"/>
        <v>4.6192388928632429E-2</v>
      </c>
      <c r="H10">
        <v>39244.54</v>
      </c>
      <c r="I10">
        <f t="shared" si="3"/>
        <v>4.6457085715517529E-2</v>
      </c>
      <c r="J10">
        <v>51226.05</v>
      </c>
      <c r="K10">
        <f t="shared" si="4"/>
        <v>5.5532531753793933E-2</v>
      </c>
      <c r="L10">
        <v>57448.91</v>
      </c>
      <c r="M10">
        <f t="shared" si="5"/>
        <v>5.9564098443147417E-2</v>
      </c>
      <c r="N10">
        <v>65519.69</v>
      </c>
      <c r="O10">
        <f t="shared" si="6"/>
        <v>6.3819004162066831E-2</v>
      </c>
      <c r="Q10">
        <f t="shared" si="7"/>
        <v>0</v>
      </c>
      <c r="S10">
        <f t="shared" si="8"/>
        <v>0</v>
      </c>
      <c r="U10">
        <f t="shared" si="9"/>
        <v>0</v>
      </c>
      <c r="W10">
        <f t="shared" si="10"/>
        <v>0</v>
      </c>
      <c r="Y10">
        <f t="shared" si="11"/>
        <v>0</v>
      </c>
      <c r="AA10">
        <f t="shared" si="12"/>
        <v>0</v>
      </c>
      <c r="AC10">
        <f t="shared" si="13"/>
        <v>0</v>
      </c>
      <c r="AE10">
        <f t="shared" si="14"/>
        <v>0</v>
      </c>
      <c r="AG10">
        <f t="shared" si="15"/>
        <v>0</v>
      </c>
      <c r="AI10">
        <f t="shared" si="16"/>
        <v>0</v>
      </c>
      <c r="AK10">
        <f t="shared" si="17"/>
        <v>0</v>
      </c>
      <c r="AM10">
        <f t="shared" si="18"/>
        <v>0</v>
      </c>
    </row>
    <row r="11" spans="1:39" ht="20.100000000000001" customHeight="1" x14ac:dyDescent="0.25">
      <c r="A11" t="s">
        <v>37</v>
      </c>
      <c r="B11">
        <f>SUM(B6+B5+B7+B8+B9+B10)</f>
        <v>145596.72</v>
      </c>
      <c r="C11">
        <f t="shared" si="0"/>
        <v>0.20148295348005293</v>
      </c>
      <c r="D11">
        <f t="shared" ref="D11:AL11" si="19">SUM(D6+D5+D7+D8+D9+D10)</f>
        <v>137958.53</v>
      </c>
      <c r="E11">
        <f t="shared" si="1"/>
        <v>0.18613681260869341</v>
      </c>
      <c r="F11">
        <f t="shared" si="19"/>
        <v>141006.39999999999</v>
      </c>
      <c r="G11">
        <f t="shared" si="2"/>
        <v>0.17629092232974508</v>
      </c>
      <c r="H11">
        <f t="shared" si="19"/>
        <v>153660.06</v>
      </c>
      <c r="I11">
        <f t="shared" si="3"/>
        <v>0.18190042687394389</v>
      </c>
      <c r="J11">
        <f t="shared" si="19"/>
        <v>181737.52000000002</v>
      </c>
      <c r="K11">
        <f t="shared" si="4"/>
        <v>0.19701586595600792</v>
      </c>
      <c r="L11">
        <f t="shared" si="19"/>
        <v>171169.2</v>
      </c>
      <c r="M11">
        <f t="shared" si="5"/>
        <v>0.17747141032327313</v>
      </c>
      <c r="N11">
        <f t="shared" si="19"/>
        <v>200367.22</v>
      </c>
      <c r="O11">
        <f t="shared" si="6"/>
        <v>0.19516631484553362</v>
      </c>
      <c r="P11">
        <f t="shared" si="19"/>
        <v>190962.93000000002</v>
      </c>
      <c r="Q11">
        <f t="shared" si="7"/>
        <v>0.17281619910900756</v>
      </c>
      <c r="R11">
        <f t="shared" si="19"/>
        <v>187157.52</v>
      </c>
      <c r="S11">
        <f t="shared" si="8"/>
        <v>0.1602946857633531</v>
      </c>
      <c r="T11">
        <f t="shared" si="19"/>
        <v>203925.77</v>
      </c>
      <c r="U11">
        <f t="shared" si="9"/>
        <v>0.16507423216710027</v>
      </c>
      <c r="V11">
        <f t="shared" si="19"/>
        <v>227962.18999999997</v>
      </c>
      <c r="W11">
        <f t="shared" si="10"/>
        <v>0.17489076662879627</v>
      </c>
      <c r="X11">
        <f t="shared" si="19"/>
        <v>261652.72</v>
      </c>
      <c r="Y11">
        <f t="shared" si="11"/>
        <v>0.19073963695680884</v>
      </c>
      <c r="Z11">
        <f t="shared" si="19"/>
        <v>294106.12</v>
      </c>
      <c r="AA11">
        <f t="shared" si="12"/>
        <v>0.21259401713321768</v>
      </c>
      <c r="AB11">
        <f t="shared" si="19"/>
        <v>297546.96999999997</v>
      </c>
      <c r="AC11">
        <f t="shared" si="13"/>
        <v>0.2166835318154306</v>
      </c>
      <c r="AD11">
        <f t="shared" si="19"/>
        <v>322539.62999999995</v>
      </c>
      <c r="AE11">
        <f t="shared" si="14"/>
        <v>0.21727696319668657</v>
      </c>
      <c r="AF11">
        <f t="shared" si="19"/>
        <v>365651.44</v>
      </c>
      <c r="AG11">
        <f t="shared" si="15"/>
        <v>0.22602844422474469</v>
      </c>
      <c r="AH11">
        <f t="shared" si="19"/>
        <v>359888.75</v>
      </c>
      <c r="AI11">
        <f t="shared" si="16"/>
        <v>0.20750341504851083</v>
      </c>
      <c r="AJ11">
        <f t="shared" si="19"/>
        <v>403643.16</v>
      </c>
      <c r="AK11">
        <f t="shared" si="17"/>
        <v>0.2212696620667397</v>
      </c>
      <c r="AL11">
        <f t="shared" si="19"/>
        <v>474520.96</v>
      </c>
      <c r="AM11">
        <f t="shared" si="18"/>
        <v>0.25836177632911861</v>
      </c>
    </row>
    <row r="12" spans="1:39" ht="20.100000000000001" customHeight="1" x14ac:dyDescent="0.25">
      <c r="A12" t="s">
        <v>38</v>
      </c>
      <c r="B12">
        <f>SUM(B2:B4)</f>
        <v>577028.78</v>
      </c>
      <c r="C12">
        <f t="shared" si="0"/>
        <v>0.79851704651994704</v>
      </c>
      <c r="D12">
        <f t="shared" ref="D12:AL12" si="20">SUM(D2:D4)</f>
        <v>603208.82999999996</v>
      </c>
      <c r="E12">
        <f t="shared" si="1"/>
        <v>0.81386318739130659</v>
      </c>
      <c r="F12">
        <f t="shared" si="20"/>
        <v>658844.19999999995</v>
      </c>
      <c r="G12">
        <f t="shared" si="2"/>
        <v>0.82370907767025492</v>
      </c>
      <c r="H12">
        <f t="shared" si="20"/>
        <v>691088.15</v>
      </c>
      <c r="I12">
        <f t="shared" si="3"/>
        <v>0.81809957312605619</v>
      </c>
      <c r="J12">
        <f t="shared" si="20"/>
        <v>740713.67</v>
      </c>
      <c r="K12">
        <f t="shared" si="4"/>
        <v>0.80298413404399205</v>
      </c>
      <c r="L12">
        <f t="shared" si="20"/>
        <v>793319.66999999993</v>
      </c>
      <c r="M12">
        <f t="shared" si="5"/>
        <v>0.82252858967672693</v>
      </c>
      <c r="N12">
        <f t="shared" si="20"/>
        <v>826281.36</v>
      </c>
      <c r="O12">
        <f t="shared" si="6"/>
        <v>0.80483368515446641</v>
      </c>
      <c r="P12">
        <f t="shared" si="20"/>
        <v>914043.03</v>
      </c>
      <c r="Q12">
        <f t="shared" si="7"/>
        <v>0.82718380089099253</v>
      </c>
      <c r="R12">
        <f t="shared" si="20"/>
        <v>980426.53999999992</v>
      </c>
      <c r="S12">
        <f t="shared" si="8"/>
        <v>0.83970531423664696</v>
      </c>
      <c r="T12">
        <f t="shared" si="20"/>
        <v>1031432.21</v>
      </c>
      <c r="U12">
        <f t="shared" si="9"/>
        <v>0.83492576783289973</v>
      </c>
      <c r="V12">
        <f t="shared" si="20"/>
        <v>1075492.5</v>
      </c>
      <c r="W12">
        <f t="shared" si="10"/>
        <v>0.82510923337120379</v>
      </c>
      <c r="X12">
        <f t="shared" si="20"/>
        <v>1110126.76</v>
      </c>
      <c r="Y12">
        <f t="shared" si="11"/>
        <v>0.80926036304319116</v>
      </c>
      <c r="Z12">
        <f t="shared" si="20"/>
        <v>1089310.6100000001</v>
      </c>
      <c r="AA12">
        <f t="shared" si="12"/>
        <v>0.78740598286678243</v>
      </c>
      <c r="AB12">
        <f t="shared" si="20"/>
        <v>1075639.8500000001</v>
      </c>
      <c r="AC12">
        <f t="shared" si="13"/>
        <v>0.78331646818456946</v>
      </c>
      <c r="AD12">
        <f t="shared" si="20"/>
        <v>1161923.45</v>
      </c>
      <c r="AE12">
        <f t="shared" si="14"/>
        <v>0.78272303680331345</v>
      </c>
      <c r="AF12">
        <f t="shared" si="20"/>
        <v>1252071.6800000002</v>
      </c>
      <c r="AG12">
        <f t="shared" si="15"/>
        <v>0.77397155577525534</v>
      </c>
      <c r="AH12">
        <f t="shared" si="20"/>
        <v>1374486.3199999998</v>
      </c>
      <c r="AI12">
        <f t="shared" si="16"/>
        <v>0.79249658495148911</v>
      </c>
      <c r="AJ12">
        <f t="shared" si="20"/>
        <v>1420570.59</v>
      </c>
      <c r="AK12">
        <f t="shared" si="17"/>
        <v>0.7787303379332603</v>
      </c>
      <c r="AL12">
        <f t="shared" si="20"/>
        <v>1362132.15</v>
      </c>
      <c r="AM12">
        <f t="shared" si="18"/>
        <v>0.74163822367088139</v>
      </c>
    </row>
    <row r="13" spans="1:39" ht="20.100000000000001" customHeight="1" x14ac:dyDescent="0.25">
      <c r="A13" t="s">
        <v>1</v>
      </c>
      <c r="B13">
        <f>SUM(B11:B12)</f>
        <v>722625.5</v>
      </c>
      <c r="C13">
        <f t="shared" si="0"/>
        <v>1</v>
      </c>
      <c r="D13">
        <f t="shared" ref="D13:AL13" si="21">SUM(D11:D12)</f>
        <v>741167.36</v>
      </c>
      <c r="E13">
        <f t="shared" si="1"/>
        <v>1</v>
      </c>
      <c r="F13">
        <f t="shared" si="21"/>
        <v>799850.6</v>
      </c>
      <c r="G13">
        <f t="shared" si="2"/>
        <v>1</v>
      </c>
      <c r="H13">
        <f t="shared" si="21"/>
        <v>844748.21</v>
      </c>
      <c r="I13">
        <f t="shared" si="3"/>
        <v>1</v>
      </c>
      <c r="J13">
        <f t="shared" si="21"/>
        <v>922451.19000000006</v>
      </c>
      <c r="K13">
        <f t="shared" si="4"/>
        <v>1</v>
      </c>
      <c r="L13">
        <f t="shared" si="21"/>
        <v>964488.86999999988</v>
      </c>
      <c r="M13">
        <f t="shared" si="5"/>
        <v>1</v>
      </c>
      <c r="N13">
        <f t="shared" si="21"/>
        <v>1026648.58</v>
      </c>
      <c r="O13">
        <f t="shared" si="6"/>
        <v>1</v>
      </c>
      <c r="P13">
        <f t="shared" si="21"/>
        <v>1105005.96</v>
      </c>
      <c r="Q13">
        <f t="shared" si="7"/>
        <v>1</v>
      </c>
      <c r="R13">
        <f t="shared" si="21"/>
        <v>1167584.0599999998</v>
      </c>
      <c r="S13">
        <f t="shared" si="8"/>
        <v>1</v>
      </c>
      <c r="T13">
        <f t="shared" si="21"/>
        <v>1235357.98</v>
      </c>
      <c r="U13">
        <f t="shared" si="9"/>
        <v>1</v>
      </c>
      <c r="V13">
        <f t="shared" si="21"/>
        <v>1303454.69</v>
      </c>
      <c r="W13">
        <f t="shared" si="10"/>
        <v>1</v>
      </c>
      <c r="X13">
        <f t="shared" si="21"/>
        <v>1371779.48</v>
      </c>
      <c r="Y13">
        <f t="shared" si="11"/>
        <v>1</v>
      </c>
      <c r="Z13">
        <f t="shared" si="21"/>
        <v>1383416.73</v>
      </c>
      <c r="AA13">
        <f t="shared" si="12"/>
        <v>1</v>
      </c>
      <c r="AB13">
        <f t="shared" si="21"/>
        <v>1373186.82</v>
      </c>
      <c r="AC13">
        <f t="shared" si="13"/>
        <v>1</v>
      </c>
      <c r="AD13">
        <f t="shared" si="21"/>
        <v>1484463.0799999998</v>
      </c>
      <c r="AE13">
        <f t="shared" si="14"/>
        <v>1</v>
      </c>
      <c r="AF13">
        <f t="shared" si="21"/>
        <v>1617723.12</v>
      </c>
      <c r="AG13">
        <f t="shared" si="15"/>
        <v>1</v>
      </c>
      <c r="AH13">
        <f t="shared" si="21"/>
        <v>1734375.0699999998</v>
      </c>
      <c r="AI13">
        <f t="shared" si="16"/>
        <v>1</v>
      </c>
      <c r="AJ13">
        <f t="shared" si="21"/>
        <v>1824213.75</v>
      </c>
      <c r="AK13">
        <f t="shared" si="17"/>
        <v>1</v>
      </c>
      <c r="AL13">
        <f t="shared" si="21"/>
        <v>1836653.1099999999</v>
      </c>
      <c r="AM13">
        <f t="shared" si="18"/>
        <v>1</v>
      </c>
    </row>
    <row r="15" spans="1:39" x14ac:dyDescent="0.25">
      <c r="A15" t="s">
        <v>32</v>
      </c>
    </row>
    <row r="16" spans="1:39" x14ac:dyDescent="0.25">
      <c r="A16" t="s">
        <v>33</v>
      </c>
    </row>
    <row r="17" spans="1:2" x14ac:dyDescent="0.25">
      <c r="A17" t="s">
        <v>34</v>
      </c>
    </row>
    <row r="18" spans="1:2" x14ac:dyDescent="0.25">
      <c r="A18" t="s">
        <v>35</v>
      </c>
      <c r="B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E81C-E71F-4649-8034-E93E560A7DA1}">
  <dimension ref="A1:U17"/>
  <sheetViews>
    <sheetView tabSelected="1" workbookViewId="0">
      <selection activeCell="B26" sqref="B26"/>
    </sheetView>
  </sheetViews>
  <sheetFormatPr defaultRowHeight="15" x14ac:dyDescent="0.25"/>
  <cols>
    <col min="1" max="1" width="25.28515625" customWidth="1"/>
    <col min="2" max="2" width="37.5703125" customWidth="1"/>
    <col min="3" max="3" width="19.140625" customWidth="1"/>
    <col min="4" max="5" width="11.28515625" customWidth="1"/>
    <col min="6" max="6" width="11.5703125" customWidth="1"/>
    <col min="7" max="7" width="11.140625" customWidth="1"/>
    <col min="8" max="8" width="13" customWidth="1"/>
  </cols>
  <sheetData>
    <row r="1" spans="1:21" x14ac:dyDescent="0.25">
      <c r="B1" t="s">
        <v>2</v>
      </c>
      <c r="C1">
        <v>2025</v>
      </c>
      <c r="D1">
        <v>2024</v>
      </c>
      <c r="E1">
        <v>2023</v>
      </c>
      <c r="F1">
        <f>E1-1</f>
        <v>2022</v>
      </c>
      <c r="G1">
        <f t="shared" ref="G1:U1" si="0">F1-1</f>
        <v>2021</v>
      </c>
      <c r="H1">
        <f t="shared" si="0"/>
        <v>2020</v>
      </c>
      <c r="I1">
        <f t="shared" si="0"/>
        <v>2019</v>
      </c>
      <c r="J1">
        <f t="shared" si="0"/>
        <v>2018</v>
      </c>
      <c r="K1">
        <f t="shared" si="0"/>
        <v>2017</v>
      </c>
      <c r="L1">
        <f t="shared" si="0"/>
        <v>2016</v>
      </c>
      <c r="M1">
        <f t="shared" si="0"/>
        <v>2015</v>
      </c>
      <c r="N1">
        <f t="shared" si="0"/>
        <v>2014</v>
      </c>
      <c r="O1">
        <f t="shared" si="0"/>
        <v>2013</v>
      </c>
      <c r="P1">
        <f t="shared" si="0"/>
        <v>2012</v>
      </c>
      <c r="Q1">
        <f t="shared" si="0"/>
        <v>2011</v>
      </c>
      <c r="R1">
        <f t="shared" si="0"/>
        <v>2010</v>
      </c>
      <c r="S1">
        <f t="shared" si="0"/>
        <v>2009</v>
      </c>
      <c r="T1">
        <f t="shared" si="0"/>
        <v>2008</v>
      </c>
      <c r="U1">
        <f t="shared" si="0"/>
        <v>2007</v>
      </c>
    </row>
    <row r="2" spans="1:21" ht="24" customHeight="1" x14ac:dyDescent="0.25">
      <c r="A2" t="s">
        <v>0</v>
      </c>
      <c r="B2">
        <v>1.46958854265995</v>
      </c>
      <c r="C2">
        <f>B2*'energy mix_genertaion'!AM2</f>
        <v>1.0245952449672988</v>
      </c>
      <c r="D2">
        <f>B2*'energy mix_genertaion'!AK2</f>
        <v>1.0729535240715034</v>
      </c>
      <c r="E2">
        <f>B2*'energy mix_genertaion'!AI2</f>
        <v>1.0971676598072027</v>
      </c>
      <c r="F2">
        <f>B2*'energy mix_genertaion'!AG2</f>
        <v>1.0738515641601198</v>
      </c>
      <c r="G2">
        <f>B2*'energy mix_genertaion'!AE2</f>
        <v>1.0677739258003822</v>
      </c>
      <c r="H2">
        <f>B2*'energy mix_genertaion'!AC2</f>
        <v>1.0503434092669006</v>
      </c>
      <c r="I2">
        <f>B2*'energy mix_genertaion'!AA2</f>
        <v>1.0561246470186962</v>
      </c>
      <c r="J2">
        <f>B2*'energy mix_genertaion'!Y2</f>
        <v>1.0951537209396129</v>
      </c>
      <c r="K2">
        <f>B2*'energy mix_genertaion'!W2</f>
        <v>1.1123381017068057</v>
      </c>
      <c r="L2">
        <f>B2*'energy mix_genertaion'!U2</f>
        <v>1.1230134809902461</v>
      </c>
      <c r="M2">
        <f>B2*'energy mix_genertaion'!S2</f>
        <v>1.1269262754024816</v>
      </c>
      <c r="N2">
        <f>B2*'energy mix_genertaion'!Q2</f>
        <v>1.1108842888752319</v>
      </c>
      <c r="O2">
        <f>B2*'energy mix_genertaion'!O2</f>
        <v>1.0671878608488941</v>
      </c>
      <c r="P2">
        <f>B2*'energy mix_genertaion'!M2</f>
        <v>1.053394344804276</v>
      </c>
      <c r="Q2">
        <f>B2*'energy mix_genertaion'!K2</f>
        <v>0.97579004823081705</v>
      </c>
      <c r="R2">
        <f>B2*'energy mix_genertaion'!I2</f>
        <v>0.97647701755904581</v>
      </c>
      <c r="S2">
        <f>B2*'energy mix_genertaion'!G2</f>
        <v>0.99139761415349759</v>
      </c>
      <c r="T2">
        <f>B2*'energy mix_genertaion'!E2</f>
        <v>1.0149868182597008</v>
      </c>
      <c r="U2">
        <f>B2*'energy mix_genertaion'!C2</f>
        <v>0.99039809172590387</v>
      </c>
    </row>
    <row r="3" spans="1:21" ht="21" customHeight="1" x14ac:dyDescent="0.25">
      <c r="A3" t="s">
        <v>15</v>
      </c>
      <c r="B3">
        <v>0.82879632543375303</v>
      </c>
      <c r="C3">
        <f>B3*'energy mix_genertaion'!AM3</f>
        <v>1.1930711945924299E-2</v>
      </c>
      <c r="D3">
        <f>B3*'energy mix_genertaion'!AK3</f>
        <v>1.4548895978043935E-2</v>
      </c>
      <c r="E3">
        <f>B3*'energy mix_genertaion'!AI3</f>
        <v>1.5146642591580531E-2</v>
      </c>
      <c r="F3">
        <f>B3*'energy mix_genertaion'!AG3</f>
        <v>1.2354534556416301E-2</v>
      </c>
      <c r="G3">
        <f>B3*'energy mix_genertaion'!AE3</f>
        <v>2.0227666805131213E-2</v>
      </c>
      <c r="H3">
        <f>B3*'energy mix_genertaion'!AC3</f>
        <v>3.088251978232982E-2</v>
      </c>
      <c r="I3">
        <f>B3*'energy mix_genertaion'!AA3</f>
        <v>2.9140621250690311E-2</v>
      </c>
      <c r="J3">
        <f>B3*'energy mix_genertaion'!Y3</f>
        <v>3.0238311105383959E-2</v>
      </c>
      <c r="K3">
        <f>B3*'energy mix_genertaion'!W3</f>
        <v>3.2145653834442803E-2</v>
      </c>
      <c r="L3">
        <f>B3*'energy mix_genertaion'!U3</f>
        <v>3.3205652678217332E-2</v>
      </c>
      <c r="M3">
        <f>B3*'energy mix_genertaion'!S3</f>
        <v>3.3840203174812615E-2</v>
      </c>
      <c r="N3">
        <f>B3*'energy mix_genertaion'!Q3</f>
        <v>3.1989648024288143E-2</v>
      </c>
      <c r="O3">
        <f>B3*'energy mix_genertaion'!O3</f>
        <v>3.7555201794026882E-2</v>
      </c>
      <c r="P3">
        <f>B3*'energy mix_genertaion'!M3</f>
        <v>5.9389033408017912E-2</v>
      </c>
      <c r="Q3">
        <f>B3*'energy mix_genertaion'!K3</f>
        <v>8.6190420940049611E-2</v>
      </c>
      <c r="R3">
        <f>B3*'energy mix_genertaion'!I3</f>
        <v>0.10156878057117126</v>
      </c>
      <c r="S3">
        <f>B3*'energy mix_genertaion'!G3</f>
        <v>0.10426274821336642</v>
      </c>
      <c r="T3">
        <f>B3*'energy mix_genertaion'!E3</f>
        <v>8.5418066137878085E-2</v>
      </c>
      <c r="U3">
        <f>B3*'energy mix_genertaion'!C3</f>
        <v>8.3809867963616558E-2</v>
      </c>
    </row>
    <row r="4" spans="1:21" ht="22.5" customHeight="1" x14ac:dyDescent="0.25">
      <c r="A4" t="s">
        <v>16</v>
      </c>
      <c r="B4">
        <v>1.76169541441775E-2</v>
      </c>
      <c r="C4">
        <f>B4*'energy mix_genertaion'!AM4</f>
        <v>5.2928870018003954E-4</v>
      </c>
      <c r="D4">
        <f>B4*'energy mix_genertaion'!AK4</f>
        <v>5.4738299333831927E-4</v>
      </c>
      <c r="E4">
        <f>B4*'energy mix_genertaion'!AI4</f>
        <v>4.8692533026356062E-4</v>
      </c>
      <c r="F4">
        <f>B4*'energy mix_genertaion'!AG4</f>
        <v>4.9942583470773247E-4</v>
      </c>
      <c r="G4">
        <f>B4*'energy mix_genertaion'!AE4</f>
        <v>5.5910518209569698E-4</v>
      </c>
      <c r="H4">
        <f>B4*'energy mix_genertaion'!AC4</f>
        <v>5.5203073477368885E-4</v>
      </c>
      <c r="I4">
        <f>B4*'energy mix_genertaion'!AA4</f>
        <v>5.9179783131405506E-4</v>
      </c>
      <c r="J4">
        <f>B4*'energy mix_genertaion'!Y4</f>
        <v>4.8560490223408659E-4</v>
      </c>
      <c r="K4">
        <f>B4*'energy mix_genertaion'!W4</f>
        <v>5.1827028805054038E-4</v>
      </c>
      <c r="L4">
        <f>B4*'energy mix_genertaion'!U4</f>
        <v>5.4070330539055195E-4</v>
      </c>
      <c r="M4">
        <f>B4*'energy mix_genertaion'!S4</f>
        <v>5.6451098510858601E-4</v>
      </c>
      <c r="N4">
        <f>B4*'energy mix_genertaion'!Q4</f>
        <v>5.755617596073327E-4</v>
      </c>
      <c r="O4">
        <f>B4*'energy mix_genertaion'!O4</f>
        <v>5.8733769142946387E-4</v>
      </c>
      <c r="P4">
        <f>B4*'energy mix_genertaion'!M4</f>
        <v>6.0031874993797876E-4</v>
      </c>
      <c r="Q4">
        <f>B4*'energy mix_genertaion'!K4</f>
        <v>6.1660806897895107E-4</v>
      </c>
      <c r="R4">
        <f>B4*'energy mix_genertaion'!I4</f>
        <v>5.4777738366870753E-4</v>
      </c>
      <c r="S4">
        <f>B4*'energy mix_genertaion'!G4</f>
        <v>4.1047329200067528E-4</v>
      </c>
      <c r="T4">
        <f>B4*'energy mix_genertaion'!E4</f>
        <v>3.548028268677908E-4</v>
      </c>
      <c r="U4">
        <f>B4*'energy mix_genertaion'!C4</f>
        <v>4.1339627707964618E-4</v>
      </c>
    </row>
    <row r="5" spans="1:21" ht="22.5" customHeight="1" x14ac:dyDescent="0.25">
      <c r="A5" t="s">
        <v>17</v>
      </c>
      <c r="B5">
        <v>7.0059901552569498E-3</v>
      </c>
      <c r="C5">
        <f>B5*'energy mix_genertaion'!AM5</f>
        <v>6.376618557726939E-4</v>
      </c>
      <c r="D5">
        <f>B5*'energy mix_genertaion'!AK5</f>
        <v>5.708367238305591E-4</v>
      </c>
      <c r="E5">
        <f>B5*'energy mix_genertaion'!AI5</f>
        <v>5.4150942321467004E-4</v>
      </c>
      <c r="F5">
        <f>B5*'energy mix_genertaion'!AG5</f>
        <v>7.0201283072424678E-4</v>
      </c>
      <c r="G5">
        <f>B5*'energy mix_genertaion'!AE5</f>
        <v>7.1561199167573556E-4</v>
      </c>
      <c r="H5">
        <f>B5*'energy mix_genertaion'!AC5</f>
        <v>7.6682716592039893E-4</v>
      </c>
      <c r="I5">
        <f>B5*'energy mix_genertaion'!AA5</f>
        <v>7.8885624089065226E-4</v>
      </c>
      <c r="J5">
        <f>B5*'energy mix_genertaion'!Y5</f>
        <v>6.8893243229368908E-4</v>
      </c>
      <c r="K5">
        <f>B5*'energy mix_genertaion'!W5</f>
        <v>6.7790188744836671E-4</v>
      </c>
      <c r="L5">
        <f>B5*'energy mix_genertaion'!U5</f>
        <v>6.9403038994767061E-4</v>
      </c>
      <c r="M5">
        <f>B5*'energy mix_genertaion'!S5</f>
        <v>7.2831040103276887E-4</v>
      </c>
      <c r="N5">
        <f>B5*'energy mix_genertaion'!Q5</f>
        <v>8.1943451216234266E-4</v>
      </c>
      <c r="O5">
        <f>B5*'energy mix_genertaion'!O5</f>
        <v>9.2021796556784419E-4</v>
      </c>
      <c r="P5">
        <f>B5*'energy mix_genertaion'!M5</f>
        <v>8.2605746626497145E-4</v>
      </c>
      <c r="Q5">
        <f>B5*'energy mix_genertaion'!K5</f>
        <v>9.9123084655363997E-4</v>
      </c>
      <c r="R5">
        <f>B5*'energy mix_genertaion'!I5</f>
        <v>9.4891471475104365E-4</v>
      </c>
      <c r="S5">
        <f>B5*'energy mix_genertaion'!G5</f>
        <v>9.1146904422156276E-4</v>
      </c>
      <c r="T5">
        <f>B5*'energy mix_genertaion'!E5</f>
        <v>1.0407220540422368E-3</v>
      </c>
      <c r="U5">
        <f>B5*'energy mix_genertaion'!C5</f>
        <v>1.167171896291613E-3</v>
      </c>
    </row>
    <row r="6" spans="1:21" ht="24" customHeight="1" x14ac:dyDescent="0.25">
      <c r="A6" t="s">
        <v>18</v>
      </c>
      <c r="B6">
        <v>5.26902805441005E-2</v>
      </c>
      <c r="C6">
        <f>B6*'energy mix_genertaion'!AM6</f>
        <v>4.9776293068805573E-3</v>
      </c>
      <c r="D6">
        <f>B6*'energy mix_genertaion'!AK6</f>
        <v>4.1636107935249427E-3</v>
      </c>
      <c r="E6">
        <f>B6*'energy mix_genertaion'!AI6</f>
        <v>3.5233215627533871E-3</v>
      </c>
      <c r="F6">
        <f>B6*'energy mix_genertaion'!AG6</f>
        <v>3.3226692866287271E-3</v>
      </c>
      <c r="G6">
        <f>B6*'energy mix_genertaion'!AE6</f>
        <v>2.6082759930181956E-3</v>
      </c>
      <c r="H6">
        <f>B6*'energy mix_genertaion'!AC6</f>
        <v>2.3176828175461911E-3</v>
      </c>
      <c r="I6">
        <f>B6*'energy mix_genertaion'!AA6</f>
        <v>1.9093463782126998E-3</v>
      </c>
      <c r="J6">
        <f>B6*'energy mix_genertaion'!Y6</f>
        <v>1.508298166452998E-3</v>
      </c>
      <c r="K6">
        <f>B6*'energy mix_genertaion'!W6</f>
        <v>1.0458007836667204E-3</v>
      </c>
      <c r="L6">
        <f>B6*'energy mix_genertaion'!U6</f>
        <v>5.7577456218790585E-4</v>
      </c>
      <c r="M6">
        <f>B6*'energy mix_genertaion'!S6</f>
        <v>3.3610774720205407E-4</v>
      </c>
      <c r="N6">
        <f>B6*'energy mix_genertaion'!Q6</f>
        <v>2.192962416491664E-4</v>
      </c>
      <c r="O6">
        <f>B6*'energy mix_genertaion'!O6</f>
        <v>0</v>
      </c>
      <c r="P6">
        <f>B6*'energy mix_genertaion'!M6</f>
        <v>0</v>
      </c>
      <c r="Q6">
        <f>B6*'energy mix_genertaion'!K6</f>
        <v>0</v>
      </c>
      <c r="R6">
        <f>B6*'energy mix_genertaion'!I6</f>
        <v>0</v>
      </c>
      <c r="S6">
        <f>B6*'energy mix_genertaion'!G6</f>
        <v>0</v>
      </c>
      <c r="T6">
        <f>B6*'energy mix_genertaion'!E6</f>
        <v>0</v>
      </c>
      <c r="U6">
        <f>B6*'energy mix_genertaion'!C6</f>
        <v>0</v>
      </c>
    </row>
    <row r="7" spans="1:21" ht="21" customHeight="1" x14ac:dyDescent="0.25">
      <c r="A7" t="s">
        <v>19</v>
      </c>
      <c r="B7">
        <v>2.04377971565089E-2</v>
      </c>
      <c r="C7">
        <f>B7*'energy mix_genertaion'!AM7</f>
        <v>1.1805285185167282E-3</v>
      </c>
      <c r="D7">
        <f>B7*'energy mix_genertaion'!AK7</f>
        <v>9.3379022210802163E-4</v>
      </c>
      <c r="E7">
        <f>B7*'energy mix_genertaion'!AI7</f>
        <v>9.8260918217908861E-4</v>
      </c>
      <c r="F7">
        <f>B7*'energy mix_genertaion'!AG7</f>
        <v>9.0727715818580566E-4</v>
      </c>
      <c r="G7">
        <f>B7*'energy mix_genertaion'!AE7</f>
        <v>9.4502304999634769E-4</v>
      </c>
      <c r="H7">
        <f>B7*'energy mix_genertaion'!AC7</f>
        <v>8.9523977166070868E-4</v>
      </c>
      <c r="I7">
        <f>B7*'energy mix_genertaion'!AA7</f>
        <v>9.5504801142937048E-4</v>
      </c>
      <c r="J7">
        <f>B7*'energy mix_genertaion'!Y7</f>
        <v>9.2426440929420047E-4</v>
      </c>
      <c r="K7">
        <f>B7*'energy mix_genertaion'!W7</f>
        <v>8.257892450764375E-4</v>
      </c>
      <c r="L7">
        <f>B7*'energy mix_genertaion'!U7</f>
        <v>7.6109709449488356E-4</v>
      </c>
      <c r="M7">
        <f>B7*'energy mix_genertaion'!S7</f>
        <v>5.7815792125769821E-4</v>
      </c>
      <c r="N7">
        <f>B7*'energy mix_genertaion'!Q7</f>
        <v>6.2456646452851668E-4</v>
      </c>
      <c r="O7">
        <f>B7*'energy mix_genertaion'!O7</f>
        <v>0</v>
      </c>
      <c r="P7">
        <f>B7*'energy mix_genertaion'!M7</f>
        <v>0</v>
      </c>
      <c r="Q7">
        <f>B7*'energy mix_genertaion'!K7</f>
        <v>0</v>
      </c>
      <c r="R7">
        <f>B7*'energy mix_genertaion'!I7</f>
        <v>0</v>
      </c>
      <c r="S7">
        <f>B7*'energy mix_genertaion'!G7</f>
        <v>0</v>
      </c>
      <c r="T7">
        <f>B7*'energy mix_genertaion'!E7</f>
        <v>0</v>
      </c>
      <c r="U7">
        <f>B7*'energy mix_genertaion'!C7</f>
        <v>0</v>
      </c>
    </row>
    <row r="8" spans="1:21" ht="22.5" customHeight="1" x14ac:dyDescent="0.25">
      <c r="A8" t="s">
        <v>20</v>
      </c>
      <c r="B8">
        <v>2.00842568319361</v>
      </c>
      <c r="C8">
        <f>B8*'energy mix_genertaion'!AM8</f>
        <v>1.2660097210631069E-2</v>
      </c>
      <c r="D8">
        <f>B8*'energy mix_genertaion'!AK8</f>
        <v>1.2736198617191111E-2</v>
      </c>
      <c r="E8">
        <f>B8*'energy mix_genertaion'!AI8</f>
        <v>1.0983782153948235E-2</v>
      </c>
      <c r="F8">
        <f>B8*'energy mix_genertaion'!AG8</f>
        <v>1.3868467195387164E-2</v>
      </c>
      <c r="G8">
        <f>B8*'energy mix_genertaion'!AE8</f>
        <v>1.4156796997015022E-2</v>
      </c>
      <c r="H8">
        <f>B8*'energy mix_genertaion'!AC8</f>
        <v>1.50039701901087E-2</v>
      </c>
      <c r="I8">
        <f>B8*'energy mix_genertaion'!AA8</f>
        <v>1.3721153267759823E-2</v>
      </c>
      <c r="J8">
        <f>B8*'energy mix_genertaion'!Y8</f>
        <v>1.2741717505799978E-2</v>
      </c>
      <c r="K8">
        <f>B8*'energy mix_genertaion'!W8</f>
        <v>1.1851556432957641E-2</v>
      </c>
      <c r="L8">
        <f>B8*'energy mix_genertaion'!U8</f>
        <v>1.2474090629513143E-2</v>
      </c>
      <c r="M8">
        <f>B8*'energy mix_genertaion'!S8</f>
        <v>1.4371053039639691E-2</v>
      </c>
      <c r="N8">
        <f>B8*'energy mix_genertaion'!Q8</f>
        <v>1.4648705418474756E-2</v>
      </c>
      <c r="O8">
        <f>B8*'energy mix_genertaion'!O8</f>
        <v>0</v>
      </c>
      <c r="P8">
        <f>B8*'energy mix_genertaion'!M8</f>
        <v>0</v>
      </c>
      <c r="Q8">
        <f>B8*'energy mix_genertaion'!K8</f>
        <v>0</v>
      </c>
      <c r="R8">
        <f>B8*'energy mix_genertaion'!I8</f>
        <v>0</v>
      </c>
      <c r="S8">
        <f>B8*'energy mix_genertaion'!G8</f>
        <v>0</v>
      </c>
      <c r="T8">
        <f>B8*'energy mix_genertaion'!E8</f>
        <v>0</v>
      </c>
      <c r="U8">
        <f>B8*'energy mix_genertaion'!C8</f>
        <v>0</v>
      </c>
    </row>
    <row r="9" spans="1:21" ht="23.25" customHeight="1" x14ac:dyDescent="0.25">
      <c r="A9" t="s">
        <v>21</v>
      </c>
      <c r="B9">
        <v>0.18126857940605196</v>
      </c>
      <c r="C9">
        <f>B9*'energy mix_genertaion'!AM9</f>
        <v>1.5969767866959781E-3</v>
      </c>
      <c r="D9">
        <f>B9*'energy mix_genertaion'!AK9</f>
        <v>1.5842965084809052E-3</v>
      </c>
      <c r="E9">
        <f>B9*'energy mix_genertaion'!AI9</f>
        <v>1.7756434392017762E-3</v>
      </c>
      <c r="F9">
        <f>B9*'energy mix_genertaion'!AG9</f>
        <v>2.0789686129866832E-3</v>
      </c>
      <c r="G9">
        <f>B9*'energy mix_genertaion'!AE9</f>
        <v>2.2376450079654732E-3</v>
      </c>
      <c r="H9">
        <f>B9*'energy mix_genertaion'!AC9</f>
        <v>2.1697642715166323E-3</v>
      </c>
      <c r="I9">
        <f>B9*'energy mix_genertaion'!AA9</f>
        <v>1.8486066100416442E-3</v>
      </c>
      <c r="J9">
        <f>B9*'energy mix_genertaion'!Y9</f>
        <v>2.2135989017979178E-3</v>
      </c>
      <c r="K9">
        <f>B9*'energy mix_genertaion'!W9</f>
        <v>2.1709526979898515E-3</v>
      </c>
      <c r="L9">
        <f>B9*'energy mix_genertaion'!U9</f>
        <v>2.1088266006165251E-3</v>
      </c>
      <c r="M9">
        <f>B9*'energy mix_genertaion'!S9</f>
        <v>2.6313536606611065E-3</v>
      </c>
      <c r="N9">
        <f>B9*'energy mix_genertaion'!Q9</f>
        <v>2.5086156540555645E-3</v>
      </c>
      <c r="O9">
        <f>B9*'energy mix_genertaion'!O9</f>
        <v>0</v>
      </c>
      <c r="P9">
        <f>B9*'energy mix_genertaion'!M9</f>
        <v>0</v>
      </c>
      <c r="Q9">
        <f>B9*'energy mix_genertaion'!K9</f>
        <v>0</v>
      </c>
      <c r="R9">
        <f>B9*'energy mix_genertaion'!I9</f>
        <v>0</v>
      </c>
      <c r="S9">
        <f>B9*'energy mix_genertaion'!G9</f>
        <v>0</v>
      </c>
      <c r="T9">
        <f>B9*'energy mix_genertaion'!E9</f>
        <v>0</v>
      </c>
      <c r="U9">
        <f>B9*'energy mix_genertaion'!C9</f>
        <v>0</v>
      </c>
    </row>
    <row r="10" spans="1:21" ht="22.5" customHeight="1" x14ac:dyDescent="0.25">
      <c r="A10" t="s">
        <v>31</v>
      </c>
      <c r="B10">
        <f>AVERAGE(B6:B9)</f>
        <v>0.56570558507506785</v>
      </c>
      <c r="C10">
        <f>B10*'energy mix_genertaion'!AM10</f>
        <v>0</v>
      </c>
      <c r="D10">
        <f>B10*'energy mix_genertaion'!AK10</f>
        <v>0</v>
      </c>
      <c r="E10">
        <f>B10*'energy mix_genertaion'!AI10</f>
        <v>0</v>
      </c>
      <c r="F10">
        <f>B10*'energy mix_genertaion'!AG10</f>
        <v>0</v>
      </c>
      <c r="G10">
        <f>B10*'energy mix_genertaion'!AE10</f>
        <v>0</v>
      </c>
      <c r="H10">
        <f>B10*'energy mix_genertaion'!AC10</f>
        <v>0</v>
      </c>
      <c r="I10">
        <f>B10*'energy mix_genertaion'!AA10</f>
        <v>0</v>
      </c>
      <c r="J10">
        <f>B10*'energy mix_genertaion'!Y10</f>
        <v>0</v>
      </c>
      <c r="K10">
        <f>B10*'energy mix_genertaion'!W10</f>
        <v>0</v>
      </c>
      <c r="L10">
        <f>B10*'energy mix_genertaion'!U10</f>
        <v>0</v>
      </c>
      <c r="M10">
        <f>B10*'energy mix_genertaion'!S10</f>
        <v>0</v>
      </c>
      <c r="N10">
        <f>B10*'energy mix_genertaion'!Q10</f>
        <v>0</v>
      </c>
      <c r="O10">
        <f>B10*'energy mix_genertaion'!O10</f>
        <v>3.6102767088410204E-2</v>
      </c>
      <c r="P10">
        <f>B10*'energy mix_genertaion'!M10</f>
        <v>3.3695743159249648E-2</v>
      </c>
      <c r="Q10">
        <f>B10*'energy mix_genertaion'!K10</f>
        <v>3.1415063366479784E-2</v>
      </c>
      <c r="R10">
        <f>B10*'energy mix_genertaion'!I10</f>
        <v>2.6281032855579423E-2</v>
      </c>
      <c r="S10">
        <f>B10*'energy mix_genertaion'!G10</f>
        <v>2.6131292404887096E-2</v>
      </c>
      <c r="T10">
        <f>B10*'energy mix_genertaion'!E10</f>
        <v>2.1264505765865607E-2</v>
      </c>
      <c r="U10">
        <f>B10*'energy mix_genertaion'!C10</f>
        <v>1.9735586136584524E-2</v>
      </c>
    </row>
    <row r="11" spans="1:21" ht="22.5" customHeight="1" x14ac:dyDescent="0.25">
      <c r="A11" t="s">
        <v>37</v>
      </c>
      <c r="C11">
        <f>B11*'energy mix_genertaion'!AM11</f>
        <v>0</v>
      </c>
      <c r="D11">
        <f>B11*'energy mix_genertaion'!AK11</f>
        <v>0</v>
      </c>
      <c r="E11">
        <f>B11*'energy mix_genertaion'!AI11</f>
        <v>0</v>
      </c>
      <c r="F11">
        <f>B11*'energy mix_genertaion'!AG11</f>
        <v>0</v>
      </c>
      <c r="G11">
        <f>B11*'energy mix_genertaion'!AE11</f>
        <v>0</v>
      </c>
      <c r="H11">
        <f>B11*'energy mix_genertaion'!AC11</f>
        <v>0</v>
      </c>
      <c r="I11">
        <f>B11*'energy mix_genertaion'!AA11</f>
        <v>0</v>
      </c>
      <c r="J11">
        <f>B11*'energy mix_genertaion'!Y11</f>
        <v>0</v>
      </c>
      <c r="K11">
        <f>B11*'energy mix_genertaion'!W11</f>
        <v>0</v>
      </c>
      <c r="L11">
        <f>B11*'energy mix_genertaion'!U11</f>
        <v>0</v>
      </c>
      <c r="M11">
        <f>B11*'energy mix_genertaion'!S11</f>
        <v>0</v>
      </c>
      <c r="N11">
        <f>B11*'energy mix_genertaion'!Q11</f>
        <v>0</v>
      </c>
      <c r="O11">
        <f>B11*'energy mix_genertaion'!O11</f>
        <v>0</v>
      </c>
      <c r="P11">
        <f>B11*'energy mix_genertaion'!M11</f>
        <v>0</v>
      </c>
      <c r="Q11">
        <f>B11*'energy mix_genertaion'!K11</f>
        <v>0</v>
      </c>
      <c r="R11">
        <f>B11*'energy mix_genertaion'!I11</f>
        <v>0</v>
      </c>
      <c r="S11">
        <f>B11*'energy mix_genertaion'!G11</f>
        <v>0</v>
      </c>
      <c r="T11">
        <f>B11*'energy mix_genertaion'!E11</f>
        <v>0</v>
      </c>
      <c r="U11">
        <f>B11*'energy mix_genertaion'!C11</f>
        <v>0</v>
      </c>
    </row>
    <row r="12" spans="1:21" ht="21" customHeight="1" x14ac:dyDescent="0.25">
      <c r="A12" t="s">
        <v>38</v>
      </c>
      <c r="C12">
        <f>B12*'energy mix_genertaion'!AM12</f>
        <v>0</v>
      </c>
      <c r="D12">
        <f>B12*'energy mix_genertaion'!AK12</f>
        <v>0</v>
      </c>
      <c r="E12">
        <f>B12*'energy mix_genertaion'!AI12</f>
        <v>0</v>
      </c>
      <c r="F12">
        <f>B12*'energy mix_genertaion'!AG12</f>
        <v>0</v>
      </c>
      <c r="G12">
        <f>B12*'energy mix_genertaion'!AE12</f>
        <v>0</v>
      </c>
      <c r="H12">
        <f>B12*'energy mix_genertaion'!AC12</f>
        <v>0</v>
      </c>
      <c r="I12">
        <f>B12*'energy mix_genertaion'!AA12</f>
        <v>0</v>
      </c>
      <c r="J12">
        <f>B12*'energy mix_genertaion'!Y12</f>
        <v>0</v>
      </c>
      <c r="K12">
        <f>B12*'energy mix_genertaion'!W12</f>
        <v>0</v>
      </c>
      <c r="L12">
        <f>B12*'energy mix_genertaion'!U12</f>
        <v>0</v>
      </c>
      <c r="M12">
        <f>B12*'energy mix_genertaion'!S12</f>
        <v>0</v>
      </c>
      <c r="N12">
        <f>B12*'energy mix_genertaion'!Q12</f>
        <v>0</v>
      </c>
      <c r="O12">
        <f>B12*'energy mix_genertaion'!O12</f>
        <v>0</v>
      </c>
      <c r="P12">
        <f>B12*'energy mix_genertaion'!M12</f>
        <v>0</v>
      </c>
      <c r="Q12">
        <f>B12*'energy mix_genertaion'!K12</f>
        <v>0</v>
      </c>
      <c r="R12">
        <f>B12*'energy mix_genertaion'!I12</f>
        <v>0</v>
      </c>
      <c r="S12">
        <f>B12*'energy mix_genertaion'!G12</f>
        <v>0</v>
      </c>
      <c r="T12">
        <f>B12*'energy mix_genertaion'!E12</f>
        <v>0</v>
      </c>
      <c r="U12">
        <f>B12*'energy mix_genertaion'!C12</f>
        <v>0</v>
      </c>
    </row>
    <row r="13" spans="1:21" x14ac:dyDescent="0.25">
      <c r="B13" t="s">
        <v>44</v>
      </c>
      <c r="C13">
        <f>C14+C15</f>
        <v>1.0581081392919001</v>
      </c>
      <c r="D13">
        <f t="shared" ref="D13:U13" si="1">D14+D15</f>
        <v>1.1080385359080211</v>
      </c>
      <c r="E13">
        <f t="shared" si="1"/>
        <v>1.1306080934903437</v>
      </c>
      <c r="F13">
        <f t="shared" si="1"/>
        <v>1.1075849196351564</v>
      </c>
      <c r="G13">
        <f t="shared" si="1"/>
        <v>1.1092240508272797</v>
      </c>
      <c r="H13">
        <f t="shared" si="1"/>
        <v>1.1029314440007569</v>
      </c>
      <c r="I13">
        <f t="shared" si="1"/>
        <v>1.105080076609035</v>
      </c>
      <c r="J13">
        <f t="shared" si="1"/>
        <v>1.1439544483628699</v>
      </c>
      <c r="K13">
        <f t="shared" si="1"/>
        <v>1.1615740268764383</v>
      </c>
      <c r="L13">
        <f t="shared" si="1"/>
        <v>1.1733736562506143</v>
      </c>
      <c r="M13">
        <f t="shared" si="1"/>
        <v>1.1799759723321963</v>
      </c>
      <c r="N13">
        <f t="shared" si="1"/>
        <v>1.1622701169499976</v>
      </c>
      <c r="O13">
        <f t="shared" si="1"/>
        <v>1.1423533853883283</v>
      </c>
      <c r="P13">
        <f t="shared" si="1"/>
        <v>1.1479054975877463</v>
      </c>
      <c r="Q13">
        <f t="shared" si="1"/>
        <v>1.0950033714528791</v>
      </c>
      <c r="R13">
        <f t="shared" si="1"/>
        <v>1.1058235230842162</v>
      </c>
      <c r="S13">
        <f t="shared" si="1"/>
        <v>1.1231135971079733</v>
      </c>
      <c r="T13">
        <f t="shared" si="1"/>
        <v>1.1230649150443546</v>
      </c>
      <c r="U13">
        <f t="shared" si="1"/>
        <v>1.0955241139994762</v>
      </c>
    </row>
    <row r="14" spans="1:21" x14ac:dyDescent="0.25">
      <c r="B14" t="s">
        <v>40</v>
      </c>
      <c r="C14">
        <f>SUM(C5:C10)</f>
        <v>2.1052893678497026E-2</v>
      </c>
      <c r="D14">
        <f t="shared" ref="D14:U14" si="2">SUM(D5:D10)</f>
        <v>1.9988732865135538E-2</v>
      </c>
      <c r="E14">
        <f t="shared" si="2"/>
        <v>1.7806865761297159E-2</v>
      </c>
      <c r="F14">
        <f t="shared" si="2"/>
        <v>2.0879395083912625E-2</v>
      </c>
      <c r="G14">
        <f t="shared" si="2"/>
        <v>2.0663353039670772E-2</v>
      </c>
      <c r="H14">
        <f t="shared" si="2"/>
        <v>2.115348421675263E-2</v>
      </c>
      <c r="I14">
        <f t="shared" si="2"/>
        <v>1.9223010508334189E-2</v>
      </c>
      <c r="J14">
        <f t="shared" si="2"/>
        <v>1.8076811415638785E-2</v>
      </c>
      <c r="K14">
        <f t="shared" si="2"/>
        <v>1.6572001047139018E-2</v>
      </c>
      <c r="L14">
        <f t="shared" si="2"/>
        <v>1.6613819276760131E-2</v>
      </c>
      <c r="M14">
        <f t="shared" si="2"/>
        <v>1.8644982769793317E-2</v>
      </c>
      <c r="N14">
        <f t="shared" si="2"/>
        <v>1.8820618290870346E-2</v>
      </c>
      <c r="O14">
        <f t="shared" si="2"/>
        <v>3.7022985053978046E-2</v>
      </c>
      <c r="P14">
        <f t="shared" si="2"/>
        <v>3.4521800625514618E-2</v>
      </c>
      <c r="Q14">
        <f t="shared" si="2"/>
        <v>3.2406294213033426E-2</v>
      </c>
      <c r="R14">
        <f t="shared" si="2"/>
        <v>2.7229947570330468E-2</v>
      </c>
      <c r="S14">
        <f t="shared" si="2"/>
        <v>2.7042761449108658E-2</v>
      </c>
      <c r="T14">
        <f t="shared" si="2"/>
        <v>2.2305227819907843E-2</v>
      </c>
      <c r="U14">
        <f t="shared" si="2"/>
        <v>2.0902758032876136E-2</v>
      </c>
    </row>
    <row r="15" spans="1:21" x14ac:dyDescent="0.25">
      <c r="B15" t="s">
        <v>41</v>
      </c>
      <c r="C15">
        <f>SUM(C2:C4)</f>
        <v>1.037055245613403</v>
      </c>
      <c r="D15">
        <f t="shared" ref="D15:U15" si="3">SUM(D2:D4)</f>
        <v>1.0880498030428856</v>
      </c>
      <c r="E15">
        <f t="shared" si="3"/>
        <v>1.1128012277290467</v>
      </c>
      <c r="F15">
        <f t="shared" si="3"/>
        <v>1.0867055245512438</v>
      </c>
      <c r="G15">
        <f t="shared" si="3"/>
        <v>1.088560697787609</v>
      </c>
      <c r="H15">
        <f t="shared" si="3"/>
        <v>1.0817779597840043</v>
      </c>
      <c r="I15">
        <f t="shared" si="3"/>
        <v>1.0858570661007008</v>
      </c>
      <c r="J15">
        <f t="shared" si="3"/>
        <v>1.125877636947231</v>
      </c>
      <c r="K15">
        <f t="shared" si="3"/>
        <v>1.1450020258292992</v>
      </c>
      <c r="L15">
        <f t="shared" si="3"/>
        <v>1.1567598369738541</v>
      </c>
      <c r="M15">
        <f t="shared" si="3"/>
        <v>1.1613309895624029</v>
      </c>
      <c r="N15">
        <f t="shared" si="3"/>
        <v>1.1434494986591273</v>
      </c>
      <c r="O15">
        <f t="shared" si="3"/>
        <v>1.1053304003343503</v>
      </c>
      <c r="P15">
        <f t="shared" si="3"/>
        <v>1.1133836969622317</v>
      </c>
      <c r="Q15">
        <f t="shared" si="3"/>
        <v>1.0625970772398456</v>
      </c>
      <c r="R15">
        <f t="shared" si="3"/>
        <v>1.0785935755138858</v>
      </c>
      <c r="S15">
        <f t="shared" si="3"/>
        <v>1.0960708356588647</v>
      </c>
      <c r="T15">
        <f t="shared" si="3"/>
        <v>1.1007596872244467</v>
      </c>
      <c r="U15">
        <f t="shared" si="3"/>
        <v>1.0746213559666</v>
      </c>
    </row>
    <row r="16" spans="1:21" x14ac:dyDescent="0.25">
      <c r="B16" t="s">
        <v>42</v>
      </c>
      <c r="C16">
        <f>'energy mix_genertaion'!AM11</f>
        <v>0.25836177632911861</v>
      </c>
      <c r="D16">
        <f>'energy mix_genertaion'!AK11</f>
        <v>0.2212696620667397</v>
      </c>
      <c r="E16">
        <f>'energy mix_genertaion'!AI11</f>
        <v>0.20750341504851083</v>
      </c>
      <c r="F16">
        <f>'energy mix_genertaion'!AG11</f>
        <v>0.22602844422474469</v>
      </c>
      <c r="G16">
        <f>'energy mix_genertaion'!AE11</f>
        <v>0.21727696319668657</v>
      </c>
      <c r="H16">
        <f>'energy mix_genertaion'!AC11</f>
        <v>0.2166835318154306</v>
      </c>
      <c r="I16">
        <f>'energy mix_genertaion'!AA11</f>
        <v>0.21259401713321768</v>
      </c>
      <c r="J16">
        <f>'energy mix_genertaion'!Y11</f>
        <v>0.19073963695680884</v>
      </c>
      <c r="K16">
        <f>'energy mix_genertaion'!W11</f>
        <v>0.17489076662879627</v>
      </c>
      <c r="L16">
        <f>'energy mix_genertaion'!U11</f>
        <v>0.16507423216710027</v>
      </c>
      <c r="M16">
        <f>'energy mix_genertaion'!S11</f>
        <v>0.1602946857633531</v>
      </c>
      <c r="N16">
        <f>'energy mix_genertaion'!Q11</f>
        <v>0.17281619910900756</v>
      </c>
      <c r="O16">
        <f>'energy mix_genertaion'!O11</f>
        <v>0.19516631484553362</v>
      </c>
      <c r="P16">
        <f>'energy mix_genertaion'!M11</f>
        <v>0.17747141032327313</v>
      </c>
      <c r="Q16">
        <f>'energy mix_genertaion'!K11</f>
        <v>0.19701586595600792</v>
      </c>
      <c r="R16">
        <f>'energy mix_genertaion'!I11</f>
        <v>0.18190042687394389</v>
      </c>
      <c r="S16">
        <f>'energy mix_genertaion'!G11</f>
        <v>0.17629092232974508</v>
      </c>
      <c r="T16">
        <f>'energy mix_genertaion'!E11</f>
        <v>0.18613681260869341</v>
      </c>
      <c r="U16">
        <f>'energy mix_genertaion'!C11</f>
        <v>0.20148295348005293</v>
      </c>
    </row>
    <row r="17" spans="2:21" x14ac:dyDescent="0.25">
      <c r="B17" t="s">
        <v>43</v>
      </c>
      <c r="C17">
        <f>1-C16</f>
        <v>0.74163822367088139</v>
      </c>
      <c r="D17">
        <f t="shared" ref="D17:U17" si="4">1-D16</f>
        <v>0.7787303379332603</v>
      </c>
      <c r="E17">
        <f t="shared" si="4"/>
        <v>0.79249658495148911</v>
      </c>
      <c r="F17">
        <f t="shared" si="4"/>
        <v>0.77397155577525534</v>
      </c>
      <c r="G17">
        <f t="shared" si="4"/>
        <v>0.78272303680331345</v>
      </c>
      <c r="H17">
        <f t="shared" si="4"/>
        <v>0.78331646818456946</v>
      </c>
      <c r="I17">
        <f t="shared" si="4"/>
        <v>0.78740598286678232</v>
      </c>
      <c r="J17">
        <f t="shared" si="4"/>
        <v>0.80926036304319116</v>
      </c>
      <c r="K17">
        <f t="shared" si="4"/>
        <v>0.82510923337120379</v>
      </c>
      <c r="L17">
        <f t="shared" si="4"/>
        <v>0.83492576783289973</v>
      </c>
      <c r="M17">
        <f t="shared" si="4"/>
        <v>0.83970531423664685</v>
      </c>
      <c r="N17">
        <f t="shared" si="4"/>
        <v>0.82718380089099242</v>
      </c>
      <c r="O17">
        <f t="shared" si="4"/>
        <v>0.80483368515446641</v>
      </c>
      <c r="P17">
        <f t="shared" si="4"/>
        <v>0.82252858967672693</v>
      </c>
      <c r="Q17">
        <f t="shared" si="4"/>
        <v>0.80298413404399205</v>
      </c>
      <c r="R17">
        <f t="shared" si="4"/>
        <v>0.81809957312605608</v>
      </c>
      <c r="S17">
        <f t="shared" si="4"/>
        <v>0.82370907767025492</v>
      </c>
      <c r="T17">
        <f t="shared" si="4"/>
        <v>0.81386318739130659</v>
      </c>
      <c r="U17">
        <f t="shared" si="4"/>
        <v>0.79851704651994704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energy mix_genertaion</vt:lpstr>
      <vt:lpstr>impact_generation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MOHSIN JAMIL MD NASIR</dc:creator>
  <cp:lastModifiedBy>Mohsin Jamil Md Nasir (P23CI0004)</cp:lastModifiedBy>
  <dcterms:created xsi:type="dcterms:W3CDTF">2025-12-15T06:32:18Z</dcterms:created>
  <dcterms:modified xsi:type="dcterms:W3CDTF">2026-08-09T19:56:16Z</dcterms:modified>
</cp:coreProperties>
</file>